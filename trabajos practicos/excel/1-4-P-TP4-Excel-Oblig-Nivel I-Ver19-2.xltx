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Usuario\Documents\VSCode Projects\microsoftoffice\microsoftoffice\trabajos practicos\excel\"/>
    </mc:Choice>
  </mc:AlternateContent>
  <xr:revisionPtr revIDLastSave="0" documentId="13_ncr:11_{4D89E2FF-B4A8-47C8-A64B-A1A20A147CF2}" xr6:coauthVersionLast="47" xr6:coauthVersionMax="47" xr10:uidLastSave="{00000000-0000-0000-0000-000000000000}"/>
  <workbookProtection workbookAlgorithmName="SHA-512" workbookHashValue="UAtEekhtoMcm4nZN5PnibbltvRzDTTe2V5oNB0jhKuk86jdZS9RavgVM4y8ZRIk7Pwm19dkaknK9VO/VWEg9zw==" workbookSaltValue="0/4TDnPFysAvAPLfPWsZ0A==" workbookSpinCount="100000" lockStructure="1"/>
  <bookViews>
    <workbookView xWindow="75" yWindow="105" windowWidth="16605" windowHeight="15495" tabRatio="702" activeTab="4" xr2:uid="{00000000-000D-0000-FFFF-FFFF00000000}"/>
  </bookViews>
  <sheets>
    <sheet name="Datos personales" sheetId="8" r:id="rId1"/>
    <sheet name="Ejercicio 1" sheetId="2" r:id="rId2"/>
    <sheet name="Ejercicio 2" sheetId="4" r:id="rId3"/>
    <sheet name="Ejercicio 3" sheetId="5" r:id="rId4"/>
    <sheet name="Ejercicio 4" sheetId="7" r:id="rId5"/>
  </sheets>
  <definedNames>
    <definedName name="A1.">'Datos personales'!$RAA$1892</definedName>
    <definedName name="aranceles">#REF!</definedName>
    <definedName name="inscripciones">#REF!</definedName>
    <definedName name="IVA">#REF!</definedName>
    <definedName name="materias">#REF!</definedName>
    <definedName name="Productos">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" i="4" l="1"/>
  <c r="H20" i="4"/>
  <c r="H17" i="4"/>
  <c r="H16" i="4"/>
  <c r="H15" i="4"/>
  <c r="H13" i="4"/>
  <c r="H11" i="4"/>
  <c r="H10" i="4"/>
  <c r="H6" i="4"/>
  <c r="F25" i="7"/>
  <c r="F22" i="7"/>
  <c r="F21" i="7"/>
  <c r="F18" i="7"/>
  <c r="E18" i="7"/>
  <c r="D18" i="7"/>
  <c r="E17" i="7"/>
  <c r="E16" i="7"/>
  <c r="E15" i="7"/>
  <c r="E14" i="7"/>
  <c r="E13" i="7"/>
  <c r="E12" i="7"/>
  <c r="E11" i="7"/>
  <c r="E10" i="7"/>
  <c r="E9" i="7"/>
  <c r="E8" i="7"/>
  <c r="J3" i="7"/>
  <c r="C19" i="5"/>
  <c r="G4" i="5"/>
  <c r="F6" i="5"/>
  <c r="F5" i="5"/>
  <c r="F4" i="5"/>
  <c r="C9" i="5"/>
  <c r="E9" i="5" s="1"/>
  <c r="C8" i="5"/>
  <c r="E8" i="5" s="1"/>
  <c r="C7" i="5"/>
  <c r="C6" i="5"/>
  <c r="E6" i="5" s="1"/>
  <c r="C5" i="5"/>
  <c r="D5" i="5" s="1"/>
  <c r="C4" i="5"/>
  <c r="D4" i="5" s="1"/>
  <c r="F27" i="4"/>
  <c r="F26" i="4"/>
  <c r="F25" i="4"/>
  <c r="F24" i="4"/>
  <c r="F23" i="4"/>
  <c r="H9" i="4"/>
  <c r="G9" i="4"/>
  <c r="D9" i="4"/>
  <c r="H8" i="4"/>
  <c r="H19" i="4"/>
  <c r="H7" i="4"/>
  <c r="H14" i="4"/>
  <c r="H18" i="4"/>
  <c r="H5" i="4"/>
  <c r="H12" i="4"/>
  <c r="G16" i="4"/>
  <c r="G17" i="4"/>
  <c r="G8" i="4"/>
  <c r="G19" i="4"/>
  <c r="G10" i="4"/>
  <c r="G13" i="4"/>
  <c r="G7" i="4"/>
  <c r="G14" i="4"/>
  <c r="G18" i="4"/>
  <c r="G5" i="4"/>
  <c r="G6" i="4"/>
  <c r="G11" i="4"/>
  <c r="G20" i="4"/>
  <c r="G15" i="4"/>
  <c r="G21" i="4"/>
  <c r="G12" i="4"/>
  <c r="D16" i="4"/>
  <c r="D17" i="4"/>
  <c r="D8" i="4"/>
  <c r="D19" i="4"/>
  <c r="D10" i="4"/>
  <c r="D13" i="4"/>
  <c r="D7" i="4"/>
  <c r="D14" i="4"/>
  <c r="D18" i="4"/>
  <c r="D5" i="4"/>
  <c r="D6" i="4"/>
  <c r="D11" i="4"/>
  <c r="D20" i="4"/>
  <c r="D15" i="4"/>
  <c r="D21" i="4"/>
  <c r="D12" i="4"/>
  <c r="H12" i="7" l="1"/>
  <c r="J12" i="7" s="1"/>
  <c r="H11" i="7"/>
  <c r="J11" i="7" s="1"/>
  <c r="H16" i="7"/>
  <c r="J16" i="7" s="1"/>
  <c r="H15" i="7"/>
  <c r="J15" i="7" s="1"/>
  <c r="G5" i="5"/>
  <c r="E5" i="5"/>
  <c r="H5" i="5"/>
  <c r="E4" i="5"/>
  <c r="H4" i="5" s="1"/>
  <c r="I5" i="5"/>
  <c r="J5" i="5"/>
  <c r="D6" i="5"/>
  <c r="G9" i="5"/>
  <c r="D8" i="5"/>
  <c r="F8" i="5"/>
  <c r="E7" i="5"/>
  <c r="G6" i="5"/>
  <c r="G8" i="5"/>
  <c r="H6" i="5"/>
  <c r="F7" i="5"/>
  <c r="F9" i="5"/>
  <c r="D7" i="5"/>
  <c r="D9" i="5"/>
  <c r="G7" i="5"/>
  <c r="F17" i="2"/>
  <c r="F22" i="2"/>
  <c r="F21" i="2"/>
  <c r="F20" i="2"/>
  <c r="F19" i="2"/>
  <c r="F18" i="2"/>
  <c r="F16" i="2"/>
  <c r="G14" i="2"/>
  <c r="G13" i="2"/>
  <c r="G12" i="2"/>
  <c r="G11" i="2"/>
  <c r="G10" i="2"/>
  <c r="G9" i="2"/>
  <c r="G8" i="2"/>
  <c r="G7" i="2"/>
  <c r="F14" i="2"/>
  <c r="E14" i="2"/>
  <c r="D14" i="2"/>
  <c r="C14" i="2"/>
  <c r="F13" i="2"/>
  <c r="F12" i="2"/>
  <c r="F11" i="2"/>
  <c r="F10" i="2"/>
  <c r="F9" i="2"/>
  <c r="F8" i="2"/>
  <c r="F7" i="2"/>
  <c r="C4" i="2"/>
  <c r="C3" i="2"/>
  <c r="G17" i="7"/>
  <c r="G8" i="7"/>
  <c r="H8" i="7" s="1"/>
  <c r="J8" i="7" s="1"/>
  <c r="G14" i="7"/>
  <c r="G13" i="7"/>
  <c r="G10" i="7"/>
  <c r="G9" i="7"/>
  <c r="H9" i="7" s="1"/>
  <c r="J9" i="7" s="1"/>
  <c r="H10" i="7" l="1"/>
  <c r="J10" i="7" s="1"/>
  <c r="F26" i="7" s="1"/>
  <c r="H13" i="7"/>
  <c r="J13" i="7" s="1"/>
  <c r="H14" i="7"/>
  <c r="J14" i="7" s="1"/>
  <c r="H17" i="7"/>
  <c r="J17" i="7" s="1"/>
  <c r="H9" i="5"/>
  <c r="I4" i="5"/>
  <c r="J4" i="5"/>
  <c r="H7" i="5"/>
  <c r="C20" i="5"/>
  <c r="F23" i="7"/>
  <c r="I9" i="7"/>
  <c r="I7" i="5"/>
  <c r="J7" i="5"/>
  <c r="H8" i="5"/>
  <c r="I9" i="5"/>
  <c r="J9" i="5"/>
  <c r="I6" i="5"/>
  <c r="J6" i="5"/>
  <c r="I14" i="7" l="1"/>
  <c r="I13" i="7"/>
  <c r="I17" i="7"/>
  <c r="I10" i="7"/>
  <c r="H18" i="7"/>
  <c r="I8" i="7"/>
  <c r="F24" i="7"/>
  <c r="I18" i="7"/>
  <c r="J8" i="5"/>
  <c r="I8" i="5"/>
  <c r="RAH1901" i="8"/>
  <c r="RAG1903" i="8"/>
  <c r="RAH1904" i="8"/>
  <c r="RAI190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tc={282B9975-EA5E-4666-A86B-0AF340A16E7A}</author>
  </authors>
  <commentList>
    <comment ref="A2" authorId="0" shapeId="0" xr:uid="{282B9975-EA5E-4666-A86B-0AF340A16E7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Verificar con el stock real</t>
      </text>
    </comment>
  </commentList>
</comments>
</file>

<file path=xl/sharedStrings.xml><?xml version="1.0" encoding="utf-8"?>
<sst xmlns="http://schemas.openxmlformats.org/spreadsheetml/2006/main" count="126" uniqueCount="106">
  <si>
    <t>LIQUIDACION DE COMISIONES DE LOS VENDEDORES</t>
  </si>
  <si>
    <t>Fecha actual</t>
  </si>
  <si>
    <t>Hora actual</t>
  </si>
  <si>
    <t>Comisión ventas:</t>
  </si>
  <si>
    <t>Nro. de legajo</t>
  </si>
  <si>
    <t>Apellido y nombre</t>
  </si>
  <si>
    <t>Ventas de Mayo</t>
  </si>
  <si>
    <t>Ventas de Junio</t>
  </si>
  <si>
    <t>Ventas de Julio</t>
  </si>
  <si>
    <t>Total del vendedor</t>
  </si>
  <si>
    <t>Importe comisión</t>
  </si>
  <si>
    <t>Gómez Claudia</t>
  </si>
  <si>
    <t>Perez Alberto</t>
  </si>
  <si>
    <t>Martínez Leonardo</t>
  </si>
  <si>
    <t>Juan Mefisto</t>
  </si>
  <si>
    <t>Gasparini Otelo</t>
  </si>
  <si>
    <t>Alvarez Hugo</t>
  </si>
  <si>
    <t>Rodriguez Ana</t>
  </si>
  <si>
    <t>Totales</t>
  </si>
  <si>
    <t>PROMEDIO DE LAS COMISIONES PAGADAS</t>
  </si>
  <si>
    <t>PROMEDIO DE LAS VENTAS EFECTUADAS</t>
  </si>
  <si>
    <t>VENTA MAXIMA DEL TRIMESTRE</t>
  </si>
  <si>
    <t>VENTA MINIMA DEL TRIMESTRE</t>
  </si>
  <si>
    <t>MAXIMA COMISION PAGADA</t>
  </si>
  <si>
    <t>MINIMA COMISION PAGADA</t>
  </si>
  <si>
    <t>CANTIDAD DE VENDEDORES</t>
  </si>
  <si>
    <t>6-2</t>
  </si>
  <si>
    <t>CONTROL DE EXISTENCIAS Y VENCIMIENTOS DE ARTÍCULOS AL DIA 31/12/2017</t>
  </si>
  <si>
    <t>Id. Artículo</t>
  </si>
  <si>
    <t>Orígen</t>
  </si>
  <si>
    <t>Fecha de vencimiento</t>
  </si>
  <si>
    <t>Alerta de vencimiento</t>
  </si>
  <si>
    <t>Stock actual</t>
  </si>
  <si>
    <t>Stock mínimo</t>
  </si>
  <si>
    <t>Alerta de stock bajo</t>
  </si>
  <si>
    <t>Alerta de stock alto</t>
  </si>
  <si>
    <t>Brasil</t>
  </si>
  <si>
    <t>Uruguay</t>
  </si>
  <si>
    <t>China</t>
  </si>
  <si>
    <t>Rep. de Yemen</t>
  </si>
  <si>
    <t>Argentina</t>
  </si>
  <si>
    <t>España</t>
  </si>
  <si>
    <t>Paraguay</t>
  </si>
  <si>
    <t>Corea del Sur</t>
  </si>
  <si>
    <t>CANTIDAD DE ARTICULOS VENCIDOS</t>
  </si>
  <si>
    <t>CANTIDAD DE ARTICULOS A REPONER</t>
  </si>
  <si>
    <t>STOCK DE UNIDADES DE ARTICULOS ARGENTINOS</t>
  </si>
  <si>
    <t>STOCK DE UNIDADES DE ARTICULOS OFERTADOS</t>
  </si>
  <si>
    <t>CANTIDAD DE ARTICULOS SIN CÓDIGO</t>
  </si>
  <si>
    <t>Inmobiliaria del Oeste.</t>
  </si>
  <si>
    <t>Unidad</t>
  </si>
  <si>
    <r>
      <t>Superficie (m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</si>
  <si>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Valor Base</t>
  </si>
  <si>
    <t>Boleto de Compra</t>
  </si>
  <si>
    <t>Adjudicación</t>
  </si>
  <si>
    <t>Legalización</t>
  </si>
  <si>
    <t>Escribanía</t>
  </si>
  <si>
    <t>Valor Final</t>
  </si>
  <si>
    <t>Contado</t>
  </si>
  <si>
    <t>Financiado</t>
  </si>
  <si>
    <t>PB A</t>
  </si>
  <si>
    <t>PB B</t>
  </si>
  <si>
    <t>1 A</t>
  </si>
  <si>
    <t>1 B</t>
  </si>
  <si>
    <t>2 A</t>
  </si>
  <si>
    <t>2 B</t>
  </si>
  <si>
    <r>
      <t>Valor del m</t>
    </r>
    <r>
      <rPr>
        <vertAlign val="superscript"/>
        <sz val="10"/>
        <rFont val="Arial"/>
        <family val="2"/>
      </rPr>
      <t>2</t>
    </r>
  </si>
  <si>
    <t>Porcentaje Boleto</t>
  </si>
  <si>
    <t>Porcentaje Adjudicación</t>
  </si>
  <si>
    <t>Porcentaje Legalización</t>
  </si>
  <si>
    <t>Porcentaje Escribanía</t>
  </si>
  <si>
    <t>Superficie promedio:</t>
  </si>
  <si>
    <t>Escribanía promedio:</t>
  </si>
  <si>
    <t>Inmobiliaria del Oeste</t>
  </si>
  <si>
    <t>Consorcio:</t>
  </si>
  <si>
    <t>Arenales 1555-San Justo</t>
  </si>
  <si>
    <t>Pcia. Bs. Aires</t>
  </si>
  <si>
    <t>Gastos del mes:</t>
  </si>
  <si>
    <t>Interes diario por atraso:</t>
  </si>
  <si>
    <t>UF</t>
  </si>
  <si>
    <t>Piso</t>
  </si>
  <si>
    <t>Dto.</t>
  </si>
  <si>
    <t>Porcentaje</t>
  </si>
  <si>
    <t>Expensas actuales</t>
  </si>
  <si>
    <t>Expensas anteriores adeudadas</t>
  </si>
  <si>
    <t>Vencimiento expensas adeudadas</t>
  </si>
  <si>
    <t>Expensas adeudadas actualizadas</t>
  </si>
  <si>
    <t>Total a pagar</t>
  </si>
  <si>
    <t>Observaciones</t>
  </si>
  <si>
    <t>A</t>
  </si>
  <si>
    <t>B</t>
  </si>
  <si>
    <t>C</t>
  </si>
  <si>
    <t>TOTALES GENERALES:</t>
  </si>
  <si>
    <t>Cantidad de expensas anteriores adeudadas:</t>
  </si>
  <si>
    <t>Suma de expensas anteriores superiores a $1500:</t>
  </si>
  <si>
    <t>Fecha de deuda de expensas mas antigua:</t>
  </si>
  <si>
    <t>Mayor importe expensa actualizada:</t>
  </si>
  <si>
    <t>Cantidad deudores a legales:</t>
  </si>
  <si>
    <t>Cantidad propietarios con expensas anteriores adeudadas &gt; a $ 2000:</t>
  </si>
  <si>
    <t>Apellido y Nombre, Curso y Docente/s</t>
  </si>
  <si>
    <t>Ejemplo</t>
  </si>
  <si>
    <t>Juan Cruz Mamerto Garcia, 912-36, Armando Balcarce</t>
  </si>
  <si>
    <t>Empezo a trabajar con el archivo el</t>
  </si>
  <si>
    <t>Cambios de autor del archivo</t>
  </si>
  <si>
    <t>Dato Anterior</t>
  </si>
  <si>
    <t>3.5%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</si>
</sst>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164" formatCode="_ &quot;$&quot;\ * #,##0.00_ ;_ &quot;$&quot;\ * \-#,##0.00_ ;_ &quot;$&quot;\ * &quot;-&quot;??_ ;_ @_ "/>
    <numFmt numFmtId="165" formatCode="mmm\-yyyy"/>
    <numFmt numFmtId="166" formatCode="_-* #,##0.00\ [$€]_-;\-* #,##0.00\ [$€]_-;_-* &quot;-&quot;??\ [$€]_-;_-@_-"/>
    <numFmt numFmtId="167" formatCode="0.0%"/>
    <numFmt numFmtId="168" formatCode="dd/mm/yyyy\ h:mm:ss"/>
    <numFmt numFmtId="169" formatCode="_ &quot;$&quot;\ * #,##0_ ;_ &quot;$&quot;\ * \-#,##0_ ;_ &quot;$&quot;\ * &quot;-&quot;??_ ;_ @_ "/>
    <numFmt numFmtId="170" formatCode="_(&quot;$&quot;* #,##0_);_(&quot;$&quot;* \(#,##0\);_(&quot;$&quot;* &quot;-&quot;??_);_(@_)"/>
    <numFmt numFmtId="171" formatCode="_(&quot;$&quot;* #,##0_);_(&quot;$&quot;* \(#,##0\);_(&quot;$&quot;* &quot;-&quot;?_);_(@_)"/>
    <numFmt numFmtId="172" formatCode="dd/mm/yyyy;@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i/>
      <sz val="10"/>
      <name val="Arial"/>
      <family val="2"/>
    </font>
    <font>
      <sz val="12"/>
      <name val="Arial"/>
      <family val="2"/>
    </font>
    <font>
      <b/>
      <sz val="22"/>
      <name val="Old English Text MT"/>
      <family val="4"/>
    </font>
    <font>
      <b/>
      <sz val="2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ed">
        <color indexed="64"/>
      </right>
      <top style="medium">
        <color indexed="64"/>
      </top>
      <bottom style="mediumDashed">
        <color indexed="64"/>
      </bottom>
      <diagonal/>
    </border>
    <border>
      <left style="mediumDashed">
        <color indexed="64"/>
      </left>
      <right style="medium">
        <color indexed="64"/>
      </right>
      <top style="medium">
        <color indexed="64"/>
      </top>
      <bottom style="mediumDashed">
        <color indexed="64"/>
      </bottom>
      <diagonal/>
    </border>
    <border>
      <left style="medium">
        <color indexed="64"/>
      </left>
      <right style="mediumDashed">
        <color indexed="64"/>
      </right>
      <top style="mediumDashed">
        <color indexed="64"/>
      </top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Dash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6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" fillId="0" borderId="0"/>
  </cellStyleXfs>
  <cellXfs count="125">
    <xf numFmtId="0" fontId="0" fillId="0" borderId="0" xfId="0"/>
    <xf numFmtId="0" fontId="0" fillId="0" borderId="0" xfId="0" applyAlignment="1">
      <alignment horizontal="center"/>
    </xf>
    <xf numFmtId="10" fontId="0" fillId="0" borderId="0" xfId="0" applyNumberFormat="1"/>
    <xf numFmtId="16" fontId="0" fillId="0" borderId="0" xfId="0" quotePrefix="1" applyNumberFormat="1"/>
    <xf numFmtId="0" fontId="2" fillId="0" borderId="0" xfId="0" applyFont="1"/>
    <xf numFmtId="17" fontId="6" fillId="0" borderId="0" xfId="0" applyNumberFormat="1" applyFont="1"/>
    <xf numFmtId="14" fontId="6" fillId="0" borderId="0" xfId="0" applyNumberFormat="1" applyFont="1"/>
    <xf numFmtId="0" fontId="0" fillId="0" borderId="0" xfId="0" applyAlignment="1">
      <alignment horizontal="right"/>
    </xf>
    <xf numFmtId="0" fontId="1" fillId="0" borderId="0" xfId="3"/>
    <xf numFmtId="0" fontId="1" fillId="3" borderId="0" xfId="3" applyFill="1" applyAlignment="1">
      <alignment horizontal="center" vertical="center"/>
    </xf>
    <xf numFmtId="0" fontId="7" fillId="0" borderId="0" xfId="3" applyFont="1"/>
    <xf numFmtId="0" fontId="1" fillId="0" borderId="0" xfId="3" applyAlignment="1">
      <alignment horizontal="center" vertical="center"/>
    </xf>
    <xf numFmtId="168" fontId="9" fillId="0" borderId="0" xfId="3" applyNumberFormat="1" applyFont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 vertical="center"/>
      <protection hidden="1"/>
    </xf>
    <xf numFmtId="14" fontId="9" fillId="0" borderId="0" xfId="3" applyNumberFormat="1" applyFont="1" applyAlignment="1" applyProtection="1">
      <alignment horizontal="center" vertical="center"/>
      <protection hidden="1"/>
    </xf>
    <xf numFmtId="0" fontId="9" fillId="0" borderId="0" xfId="3" applyFont="1" applyAlignment="1" applyProtection="1">
      <alignment horizontal="center" vertical="center"/>
      <protection hidden="1"/>
    </xf>
    <xf numFmtId="16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9" fontId="0" fillId="0" borderId="0" xfId="2" applyNumberFormat="1" applyFont="1" applyAlignment="1">
      <alignment horizontal="center"/>
    </xf>
    <xf numFmtId="0" fontId="0" fillId="0" borderId="4" xfId="0" applyBorder="1"/>
    <xf numFmtId="0" fontId="2" fillId="0" borderId="4" xfId="0" applyFont="1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169" fontId="0" fillId="0" borderId="4" xfId="2" applyNumberFormat="1" applyFont="1" applyBorder="1"/>
    <xf numFmtId="169" fontId="0" fillId="0" borderId="4" xfId="2" applyNumberFormat="1" applyFont="1" applyBorder="1" applyAlignment="1">
      <alignment horizontal="center"/>
    </xf>
    <xf numFmtId="169" fontId="0" fillId="0" borderId="9" xfId="2" applyNumberFormat="1" applyFont="1" applyBorder="1" applyAlignment="1">
      <alignment horizontal="center"/>
    </xf>
    <xf numFmtId="169" fontId="0" fillId="0" borderId="11" xfId="2" applyNumberFormat="1" applyFont="1" applyBorder="1" applyAlignment="1">
      <alignment horizontal="right"/>
    </xf>
    <xf numFmtId="169" fontId="0" fillId="0" borderId="11" xfId="2" applyNumberFormat="1" applyFont="1" applyBorder="1" applyAlignment="1">
      <alignment horizontal="center"/>
    </xf>
    <xf numFmtId="169" fontId="0" fillId="0" borderId="12" xfId="2" applyNumberFormat="1" applyFont="1" applyBorder="1" applyAlignment="1">
      <alignment horizontal="center"/>
    </xf>
    <xf numFmtId="0" fontId="2" fillId="5" borderId="5" xfId="0" applyFont="1" applyFill="1" applyBorder="1" applyAlignment="1">
      <alignment horizontal="center" wrapText="1"/>
    </xf>
    <xf numFmtId="0" fontId="2" fillId="5" borderId="6" xfId="0" applyFont="1" applyFill="1" applyBorder="1" applyAlignment="1">
      <alignment horizontal="center" wrapText="1"/>
    </xf>
    <xf numFmtId="0" fontId="2" fillId="5" borderId="7" xfId="0" applyFont="1" applyFill="1" applyBorder="1" applyAlignment="1">
      <alignment horizontal="center" wrapText="1"/>
    </xf>
    <xf numFmtId="16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0" fillId="0" borderId="13" xfId="0" applyBorder="1"/>
    <xf numFmtId="14" fontId="0" fillId="0" borderId="13" xfId="0" applyNumberFormat="1" applyBorder="1"/>
    <xf numFmtId="0" fontId="0" fillId="0" borderId="13" xfId="0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2" fillId="0" borderId="13" xfId="0" applyFont="1" applyBorder="1"/>
    <xf numFmtId="0" fontId="11" fillId="7" borderId="13" xfId="0" applyFont="1" applyFill="1" applyBorder="1" applyAlignment="1">
      <alignment horizontal="center"/>
    </xf>
    <xf numFmtId="0" fontId="0" fillId="0" borderId="19" xfId="0" applyBorder="1"/>
    <xf numFmtId="0" fontId="13" fillId="8" borderId="20" xfId="0" applyFont="1" applyFill="1" applyBorder="1" applyAlignment="1">
      <alignment horizontal="center"/>
    </xf>
    <xf numFmtId="0" fontId="13" fillId="6" borderId="20" xfId="0" applyFont="1" applyFill="1" applyBorder="1" applyAlignment="1">
      <alignment horizontal="center"/>
    </xf>
    <xf numFmtId="0" fontId="0" fillId="0" borderId="15" xfId="0" applyBorder="1"/>
    <xf numFmtId="0" fontId="2" fillId="0" borderId="21" xfId="0" applyFont="1" applyBorder="1"/>
    <xf numFmtId="14" fontId="0" fillId="0" borderId="21" xfId="0" applyNumberFormat="1" applyBorder="1"/>
    <xf numFmtId="0" fontId="0" fillId="0" borderId="21" xfId="0" applyBorder="1" applyAlignment="1">
      <alignment horizontal="center"/>
    </xf>
    <xf numFmtId="0" fontId="0" fillId="0" borderId="21" xfId="0" applyBorder="1"/>
    <xf numFmtId="0" fontId="13" fillId="8" borderId="14" xfId="0" applyFont="1" applyFill="1" applyBorder="1" applyAlignment="1">
      <alignment horizontal="center"/>
    </xf>
    <xf numFmtId="0" fontId="0" fillId="5" borderId="17" xfId="0" applyFill="1" applyBorder="1" applyAlignment="1">
      <alignment horizontal="center" vertical="center" wrapText="1"/>
    </xf>
    <xf numFmtId="0" fontId="0" fillId="5" borderId="18" xfId="0" applyFill="1" applyBorder="1" applyAlignment="1">
      <alignment horizontal="center" vertical="center" wrapText="1"/>
    </xf>
    <xf numFmtId="0" fontId="0" fillId="5" borderId="16" xfId="0" applyFill="1" applyBorder="1" applyAlignment="1">
      <alignment horizontal="center" vertical="center" wrapText="1"/>
    </xf>
    <xf numFmtId="0" fontId="0" fillId="5" borderId="0" xfId="0" applyFill="1"/>
    <xf numFmtId="0" fontId="12" fillId="0" borderId="21" xfId="0" applyFont="1" applyBorder="1" applyAlignment="1">
      <alignment horizontal="center"/>
    </xf>
    <xf numFmtId="49" fontId="0" fillId="0" borderId="4" xfId="0" applyNumberFormat="1" applyBorder="1"/>
    <xf numFmtId="49" fontId="0" fillId="0" borderId="11" xfId="0" applyNumberFormat="1" applyBorder="1"/>
    <xf numFmtId="0" fontId="0" fillId="5" borderId="4" xfId="0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49" fontId="0" fillId="5" borderId="4" xfId="0" applyNumberFormat="1" applyFill="1" applyBorder="1"/>
    <xf numFmtId="0" fontId="0" fillId="5" borderId="4" xfId="0" applyFill="1" applyBorder="1"/>
    <xf numFmtId="167" fontId="0" fillId="0" borderId="4" xfId="0" applyNumberFormat="1" applyBorder="1"/>
    <xf numFmtId="49" fontId="2" fillId="5" borderId="4" xfId="0" applyNumberFormat="1" applyFont="1" applyFill="1" applyBorder="1"/>
    <xf numFmtId="170" fontId="2" fillId="4" borderId="4" xfId="0" applyNumberFormat="1" applyFont="1" applyFill="1" applyBorder="1" applyAlignment="1">
      <alignment horizontal="left"/>
    </xf>
    <xf numFmtId="170" fontId="2" fillId="4" borderId="4" xfId="0" applyNumberFormat="1" applyFont="1" applyFill="1" applyBorder="1"/>
    <xf numFmtId="171" fontId="2" fillId="4" borderId="4" xfId="0" applyNumberFormat="1" applyFont="1" applyFill="1" applyBorder="1" applyAlignment="1">
      <alignment horizontal="left"/>
    </xf>
    <xf numFmtId="170" fontId="2" fillId="4" borderId="11" xfId="0" applyNumberFormat="1" applyFont="1" applyFill="1" applyBorder="1" applyAlignment="1">
      <alignment horizontal="left"/>
    </xf>
    <xf numFmtId="170" fontId="2" fillId="4" borderId="11" xfId="0" applyNumberFormat="1" applyFont="1" applyFill="1" applyBorder="1"/>
    <xf numFmtId="171" fontId="2" fillId="4" borderId="11" xfId="0" applyNumberFormat="1" applyFont="1" applyFill="1" applyBorder="1" applyAlignment="1">
      <alignment horizontal="left"/>
    </xf>
    <xf numFmtId="171" fontId="2" fillId="4" borderId="4" xfId="0" applyNumberFormat="1" applyFont="1" applyFill="1" applyBorder="1"/>
    <xf numFmtId="171" fontId="2" fillId="4" borderId="11" xfId="0" applyNumberFormat="1" applyFont="1" applyFill="1" applyBorder="1"/>
    <xf numFmtId="2" fontId="2" fillId="0" borderId="4" xfId="0" applyNumberFormat="1" applyFont="1" applyBorder="1"/>
    <xf numFmtId="171" fontId="2" fillId="0" borderId="4" xfId="0" applyNumberFormat="1" applyFont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165" fontId="0" fillId="0" borderId="0" xfId="0" applyNumberFormat="1"/>
    <xf numFmtId="0" fontId="0" fillId="0" borderId="29" xfId="0" applyBorder="1"/>
    <xf numFmtId="0" fontId="2" fillId="0" borderId="30" xfId="0" applyFont="1" applyBorder="1"/>
    <xf numFmtId="0" fontId="0" fillId="0" borderId="31" xfId="0" applyBorder="1"/>
    <xf numFmtId="10" fontId="0" fillId="0" borderId="31" xfId="0" applyNumberFormat="1" applyBorder="1"/>
    <xf numFmtId="0" fontId="0" fillId="0" borderId="32" xfId="0" applyBorder="1"/>
    <xf numFmtId="9" fontId="0" fillId="0" borderId="4" xfId="0" applyNumberFormat="1" applyBorder="1"/>
    <xf numFmtId="0" fontId="0" fillId="5" borderId="5" xfId="0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/>
    <xf numFmtId="0" fontId="2" fillId="5" borderId="25" xfId="0" applyFont="1" applyFill="1" applyBorder="1"/>
    <xf numFmtId="0" fontId="0" fillId="5" borderId="26" xfId="0" applyFill="1" applyBorder="1"/>
    <xf numFmtId="0" fontId="2" fillId="5" borderId="28" xfId="0" applyFont="1" applyFill="1" applyBorder="1"/>
    <xf numFmtId="0" fontId="2" fillId="5" borderId="30" xfId="0" applyFont="1" applyFill="1" applyBorder="1"/>
    <xf numFmtId="0" fontId="0" fillId="5" borderId="31" xfId="0" applyFill="1" applyBorder="1"/>
    <xf numFmtId="164" fontId="0" fillId="0" borderId="31" xfId="2" applyFont="1" applyBorder="1"/>
    <xf numFmtId="172" fontId="2" fillId="0" borderId="29" xfId="0" applyNumberFormat="1" applyFont="1" applyBorder="1" applyAlignment="1">
      <alignment horizontal="right"/>
    </xf>
    <xf numFmtId="44" fontId="0" fillId="0" borderId="4" xfId="0" applyNumberFormat="1" applyBorder="1" applyAlignment="1">
      <alignment horizontal="center"/>
    </xf>
    <xf numFmtId="164" fontId="0" fillId="0" borderId="4" xfId="2" applyFont="1" applyBorder="1"/>
    <xf numFmtId="172" fontId="0" fillId="0" borderId="4" xfId="0" applyNumberFormat="1" applyBorder="1"/>
    <xf numFmtId="164" fontId="0" fillId="0" borderId="4" xfId="0" applyNumberFormat="1" applyBorder="1" applyAlignment="1">
      <alignment horizontal="center"/>
    </xf>
    <xf numFmtId="9" fontId="0" fillId="0" borderId="11" xfId="0" applyNumberFormat="1" applyBorder="1" applyAlignment="1">
      <alignment horizontal="center"/>
    </xf>
    <xf numFmtId="44" fontId="0" fillId="0" borderId="11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12" xfId="0" applyFont="1" applyBorder="1" applyAlignment="1">
      <alignment horizontal="center"/>
    </xf>
    <xf numFmtId="164" fontId="0" fillId="0" borderId="9" xfId="2" applyFont="1" applyBorder="1" applyAlignment="1">
      <alignment horizontal="center"/>
    </xf>
    <xf numFmtId="172" fontId="0" fillId="0" borderId="9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0" fontId="8" fillId="2" borderId="1" xfId="3" applyFont="1" applyFill="1" applyBorder="1" applyAlignment="1">
      <alignment horizontal="center"/>
    </xf>
    <xf numFmtId="0" fontId="8" fillId="2" borderId="2" xfId="3" applyFont="1" applyFill="1" applyBorder="1" applyAlignment="1">
      <alignment horizontal="center"/>
    </xf>
    <xf numFmtId="0" fontId="8" fillId="2" borderId="3" xfId="3" applyFont="1" applyFill="1" applyBorder="1" applyAlignment="1">
      <alignment horizontal="center"/>
    </xf>
    <xf numFmtId="0" fontId="8" fillId="4" borderId="1" xfId="3" applyFont="1" applyFill="1" applyBorder="1" applyAlignment="1" applyProtection="1">
      <alignment horizontal="center" vertical="center" wrapText="1"/>
      <protection locked="0"/>
    </xf>
    <xf numFmtId="0" fontId="8" fillId="4" borderId="2" xfId="3" applyFont="1" applyFill="1" applyBorder="1" applyAlignment="1" applyProtection="1">
      <alignment horizontal="center" vertical="center" wrapText="1"/>
      <protection locked="0"/>
    </xf>
    <xf numFmtId="0" fontId="8" fillId="4" borderId="3" xfId="3" applyFont="1" applyFill="1" applyBorder="1" applyAlignment="1" applyProtection="1">
      <alignment horizontal="center" vertical="center" wrapText="1"/>
      <protection locked="0"/>
    </xf>
    <xf numFmtId="0" fontId="1" fillId="0" borderId="0" xfId="3" applyAlignment="1" applyProtection="1">
      <alignment horizontal="center" vertical="top" wrapText="1"/>
      <protection hidden="1"/>
    </xf>
    <xf numFmtId="0" fontId="10" fillId="5" borderId="0" xfId="0" applyFont="1" applyFill="1" applyAlignment="1">
      <alignment horizontal="center"/>
    </xf>
    <xf numFmtId="0" fontId="14" fillId="5" borderId="0" xfId="0" applyFont="1" applyFill="1" applyAlignment="1">
      <alignment horizontal="left" indent="1"/>
    </xf>
    <xf numFmtId="0" fontId="15" fillId="5" borderId="0" xfId="0" applyFont="1" applyFill="1" applyAlignment="1">
      <alignment horizontal="center"/>
    </xf>
    <xf numFmtId="0" fontId="15" fillId="5" borderId="23" xfId="0" applyFont="1" applyFill="1" applyBorder="1" applyAlignment="1">
      <alignment horizontal="center"/>
    </xf>
    <xf numFmtId="0" fontId="15" fillId="5" borderId="24" xfId="0" applyFont="1" applyFill="1" applyBorder="1" applyAlignment="1">
      <alignment horizontal="center"/>
    </xf>
    <xf numFmtId="0" fontId="15" fillId="5" borderId="22" xfId="0" applyFont="1" applyFill="1" applyBorder="1" applyAlignment="1">
      <alignment horizontal="center"/>
    </xf>
    <xf numFmtId="0" fontId="16" fillId="5" borderId="33" xfId="0" applyFont="1" applyFill="1" applyBorder="1" applyAlignment="1">
      <alignment horizontal="center"/>
    </xf>
    <xf numFmtId="0" fontId="16" fillId="5" borderId="34" xfId="0" applyFont="1" applyFill="1" applyBorder="1" applyAlignment="1">
      <alignment horizontal="center"/>
    </xf>
    <xf numFmtId="0" fontId="16" fillId="5" borderId="35" xfId="0" applyFont="1" applyFill="1" applyBorder="1" applyAlignment="1">
      <alignment horizontal="center"/>
    </xf>
  </cellXfs>
  <cellStyles count="4">
    <cellStyle name="Euro" xfId="1" xr:uid="{00000000-0005-0000-0000-000000000000}"/>
    <cellStyle name="Moneda" xfId="2" builtinId="4"/>
    <cellStyle name="Normal" xfId="0" builtinId="0"/>
    <cellStyle name="Normal 2" xfId="3" xr:uid="{B4B7D955-8B43-456D-A26E-49DAC97AEF0E}"/>
  </cellStyles>
  <dxfs count="4">
    <dxf>
      <font>
        <color theme="0"/>
      </font>
    </dxf>
    <dxf>
      <font>
        <b/>
        <i val="0"/>
        <color theme="1"/>
      </font>
    </dxf>
    <dxf>
      <font>
        <b/>
        <i val="0"/>
        <color theme="0"/>
      </font>
    </dxf>
    <dxf>
      <font>
        <b/>
        <i val="0"/>
        <color theme="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Porcentaje</a:t>
            </a:r>
            <a:r>
              <a:rPr lang="en-US" sz="2000" b="1" baseline="0"/>
              <a:t> de expensas de cada U.F.</a:t>
            </a:r>
          </a:p>
        </c:rich>
      </c:tx>
      <c:layout>
        <c:manualLayout>
          <c:xMode val="edge"/>
          <c:yMode val="edge"/>
          <c:x val="0.19940094654066234"/>
          <c:y val="6.59978228772375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4456036745406818E-2"/>
          <c:y val="4.1757185010334805E-2"/>
          <c:w val="0.80895341207349081"/>
          <c:h val="0.88945618509634516"/>
        </c:manualLayout>
      </c:layout>
      <c:bar3DChart>
        <c:barDir val="col"/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h="3175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'Ejercicio 4'!$D$8:$D$17</c:f>
              <c:numCache>
                <c:formatCode>0%</c:formatCode>
                <c:ptCount val="10"/>
                <c:pt idx="0">
                  <c:v>0.08</c:v>
                </c:pt>
                <c:pt idx="1">
                  <c:v>0.08</c:v>
                </c:pt>
                <c:pt idx="2">
                  <c:v>0.15</c:v>
                </c:pt>
                <c:pt idx="3">
                  <c:v>0.1</c:v>
                </c:pt>
                <c:pt idx="4">
                  <c:v>0.1</c:v>
                </c:pt>
                <c:pt idx="5">
                  <c:v>0.09</c:v>
                </c:pt>
                <c:pt idx="6">
                  <c:v>0.12</c:v>
                </c:pt>
                <c:pt idx="7">
                  <c:v>0.09</c:v>
                </c:pt>
                <c:pt idx="8">
                  <c:v>0.12</c:v>
                </c:pt>
                <c:pt idx="9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10-4BCC-93E5-947F364EA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shape val="box"/>
        <c:axId val="746404223"/>
        <c:axId val="760351343"/>
        <c:axId val="701178303"/>
      </c:bar3DChart>
      <c:catAx>
        <c:axId val="7464042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351343"/>
        <c:crosses val="autoZero"/>
        <c:auto val="1"/>
        <c:lblAlgn val="ctr"/>
        <c:lblOffset val="100"/>
        <c:noMultiLvlLbl val="0"/>
      </c:catAx>
      <c:valAx>
        <c:axId val="760351343"/>
        <c:scaling>
          <c:orientation val="minMax"/>
          <c:max val="0.1600000000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solidFill>
              <a:schemeClr val="accent1">
                <a:alpha val="98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404223"/>
        <c:crosses val="autoZero"/>
        <c:crossBetween val="between"/>
        <c:majorUnit val="2.0000000000000004E-2"/>
      </c:valAx>
      <c:serAx>
        <c:axId val="701178303"/>
        <c:scaling>
          <c:orientation val="minMax"/>
        </c:scaling>
        <c:delete val="1"/>
        <c:axPos val="b"/>
        <c:numFmt formatCode="0.00%" sourceLinked="0"/>
        <c:majorTickMark val="none"/>
        <c:minorTickMark val="none"/>
        <c:tickLblPos val="nextTo"/>
        <c:crossAx val="760351343"/>
        <c:crosses val="autoZero"/>
      </c:serAx>
      <c:spPr>
        <a:solidFill>
          <a:schemeClr val="bg1">
            <a:lumMod val="8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Total</a:t>
            </a:r>
            <a:r>
              <a:rPr lang="en-US" sz="1600" baseline="0"/>
              <a:t> a pagar por cada U.F.</a:t>
            </a:r>
            <a:endParaRPr lang="en-US" sz="1600"/>
          </a:p>
        </c:rich>
      </c:tx>
      <c:layout>
        <c:manualLayout>
          <c:xMode val="edge"/>
          <c:yMode val="edge"/>
          <c:x val="0.29845209647301552"/>
          <c:y val="3.04326923796957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97-4FF0-911A-F316EFA6E55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97-4FF0-911A-F316EFA6E55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97-4FF0-911A-F316EFA6E55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97-4FF0-911A-F316EFA6E55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33-413F-8217-18BBB49C56C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33-413F-8217-18BBB49C56C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D833-413F-8217-18BBB49C56C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3697-4FF0-911A-F316EFA6E55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3697-4FF0-911A-F316EFA6E55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3697-4FF0-911A-F316EFA6E55E}"/>
              </c:ext>
            </c:extLst>
          </c:dPt>
          <c:dLbls>
            <c:dLbl>
              <c:idx val="3"/>
              <c:layout>
                <c:manualLayout>
                  <c:x val="-1.5669332019687703E-16"/>
                  <c:y val="-0.1085079164693580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697-4FF0-911A-F316EFA6E55E}"/>
                </c:ext>
              </c:extLst>
            </c:dLbl>
            <c:dLbl>
              <c:idx val="4"/>
              <c:layout>
                <c:manualLayout>
                  <c:x val="-1.5669332019687703E-16"/>
                  <c:y val="-7.8914848341351249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33-413F-8217-18BBB49C56C6}"/>
                </c:ext>
              </c:extLst>
            </c:dLbl>
            <c:dLbl>
              <c:idx val="7"/>
              <c:layout>
                <c:manualLayout>
                  <c:x val="0"/>
                  <c:y val="-9.535544174579954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697-4FF0-911A-F316EFA6E55E}"/>
                </c:ext>
              </c:extLst>
            </c:dLbl>
            <c:dLbl>
              <c:idx val="8"/>
              <c:layout>
                <c:manualLayout>
                  <c:x val="0"/>
                  <c:y val="-0.13481286591647507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697-4FF0-911A-F316EFA6E55E}"/>
                </c:ext>
              </c:extLst>
            </c:dLbl>
            <c:spPr>
              <a:noFill/>
              <a:ln cap="sq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'Ejercicio 4'!$I$8:$I$17</c:f>
              <c:numCache>
                <c:formatCode>_ "$"\ * #,##0.00_ ;_ "$"\ * \-#,##0.00_ ;_ "$"\ * "-"??_ ;_ @_ </c:formatCode>
                <c:ptCount val="10"/>
                <c:pt idx="0">
                  <c:v>5544</c:v>
                </c:pt>
                <c:pt idx="1">
                  <c:v>1320</c:v>
                </c:pt>
                <c:pt idx="2">
                  <c:v>3562</c:v>
                </c:pt>
                <c:pt idx="3">
                  <c:v>2450</c:v>
                </c:pt>
                <c:pt idx="4">
                  <c:v>2450</c:v>
                </c:pt>
                <c:pt idx="5">
                  <c:v>4940.6399999999994</c:v>
                </c:pt>
                <c:pt idx="6">
                  <c:v>9735</c:v>
                </c:pt>
                <c:pt idx="7">
                  <c:v>2205</c:v>
                </c:pt>
                <c:pt idx="8">
                  <c:v>2940</c:v>
                </c:pt>
                <c:pt idx="9">
                  <c:v>11328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33-413F-8217-18BBB49C5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nuevacaravana.blogspot.com/2010/06/el-dinero.html" TargetMode="External"/><Relationship Id="rId1" Type="http://schemas.openxmlformats.org/officeDocument/2006/relationships/image" Target="../media/image1.jpg"/><Relationship Id="rId4" Type="http://schemas.openxmlformats.org/officeDocument/2006/relationships/hyperlink" Target="https://pixabay.com/es/vectors/dinero-bolsa-ganancia-oro-monedas-40603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885825</xdr:colOff>
      <xdr:row>11</xdr:row>
      <xdr:rowOff>146616</xdr:rowOff>
    </xdr:from>
    <xdr:to>
      <xdr:col>7</xdr:col>
      <xdr:colOff>295275</xdr:colOff>
      <xdr:row>25</xdr:row>
      <xdr:rowOff>90443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E6CBE33-4CBF-2310-D2DB-AA5C6A7BC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3333750" y="2099241"/>
          <a:ext cx="2781300" cy="2229827"/>
        </a:xfrm>
        <a:prstGeom prst="rect">
          <a:avLst/>
        </a:prstGeom>
      </xdr:spPr>
    </xdr:pic>
    <xdr:clientData/>
  </xdr:twoCellAnchor>
  <xdr:twoCellAnchor editAs="oneCell">
    <xdr:from>
      <xdr:col>8</xdr:col>
      <xdr:colOff>104775</xdr:colOff>
      <xdr:row>11</xdr:row>
      <xdr:rowOff>76200</xdr:rowOff>
    </xdr:from>
    <xdr:to>
      <xdr:col>11</xdr:col>
      <xdr:colOff>371475</xdr:colOff>
      <xdr:row>27</xdr:row>
      <xdr:rowOff>47625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F0DDE250-8E97-4188-6BE2-F19D93001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6743700" y="2028825"/>
          <a:ext cx="2667000" cy="25812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271461</xdr:colOff>
      <xdr:row>28</xdr:row>
      <xdr:rowOff>1</xdr:rowOff>
    </xdr:from>
    <xdr:to>
      <xdr:col>7</xdr:col>
      <xdr:colOff>295275</xdr:colOff>
      <xdr:row>53</xdr:row>
      <xdr:rowOff>9525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9A34981-7EC7-8EFB-8FAD-2F01D85610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285749</xdr:colOff>
      <xdr:row>55</xdr:row>
      <xdr:rowOff>14284</xdr:rowOff>
    </xdr:from>
    <xdr:to>
      <xdr:col>7</xdr:col>
      <xdr:colOff>285750</xdr:colOff>
      <xdr:row>78</xdr:row>
      <xdr:rowOff>152400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43068C6-1C3E-1EC4-3530-0BCFBE2FC8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ANIVET DAN ELOY" id="{46B8C8D8-BB89-48C5-A1A4-2D72F2B60968}" userId="S::dchanivet@alumno.unlam.edu.ar::97cea2dd-bba3-49f5-b3eb-aa4106d3edfd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4-02-16T16:10:04.87" personId="{46B8C8D8-BB89-48C5-A1A4-2D72F2B60968}" id="{282B9975-EA5E-4666-A86B-0AF340A16E7A}">
    <text>Verificar con el stock real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8CCED-41D6-40ED-9F68-0EE25E8793C1}">
  <dimension ref="A1:RAI1913"/>
  <sheetViews>
    <sheetView zoomScale="175" zoomScaleNormal="175" workbookViewId="0">
      <selection activeCell="A3" sqref="A3:D6"/>
    </sheetView>
  </sheetViews>
  <sheetFormatPr baseColWidth="10" defaultRowHeight="15" x14ac:dyDescent="0.25"/>
  <cols>
    <col min="1" max="1" width="15.7109375" style="8" bestFit="1" customWidth="1"/>
    <col min="2" max="235" width="15.7109375" style="8" customWidth="1"/>
    <col min="236" max="237" width="11.5703125" style="8"/>
    <col min="238" max="238" width="67.42578125" style="8" bestFit="1" customWidth="1"/>
    <col min="239" max="239" width="12.140625" style="8" bestFit="1" customWidth="1"/>
    <col min="240" max="12201" width="11.5703125" style="8"/>
    <col min="12202" max="12202" width="39.5703125" style="8" customWidth="1"/>
    <col min="12203" max="12203" width="13" style="8" customWidth="1"/>
    <col min="12204" max="16384" width="11.5703125" style="8"/>
  </cols>
  <sheetData>
    <row r="1" spans="1:4" x14ac:dyDescent="0.25">
      <c r="A1" s="109" t="s">
        <v>99</v>
      </c>
      <c r="B1" s="110"/>
      <c r="C1" s="110"/>
      <c r="D1" s="111"/>
    </row>
    <row r="2" spans="1:4" x14ac:dyDescent="0.25">
      <c r="A2" s="9" t="s">
        <v>100</v>
      </c>
      <c r="B2" s="109" t="s">
        <v>101</v>
      </c>
      <c r="C2" s="110"/>
      <c r="D2" s="111"/>
    </row>
    <row r="3" spans="1:4" x14ac:dyDescent="0.25">
      <c r="A3" s="112"/>
      <c r="B3" s="113"/>
      <c r="C3" s="113"/>
      <c r="D3" s="114"/>
    </row>
    <row r="4" spans="1:4" x14ac:dyDescent="0.25">
      <c r="A4" s="112"/>
      <c r="B4" s="113"/>
      <c r="C4" s="113"/>
      <c r="D4" s="114"/>
    </row>
    <row r="5" spans="1:4" x14ac:dyDescent="0.25">
      <c r="A5" s="112"/>
      <c r="B5" s="113"/>
      <c r="C5" s="113"/>
      <c r="D5" s="114"/>
    </row>
    <row r="6" spans="1:4" x14ac:dyDescent="0.25">
      <c r="A6" s="112"/>
      <c r="B6" s="113"/>
      <c r="C6" s="113"/>
      <c r="D6" s="114"/>
    </row>
    <row r="190" spans="237:239" x14ac:dyDescent="0.25">
      <c r="IC190" s="10"/>
      <c r="IE190" s="10"/>
    </row>
    <row r="192" spans="237:239" ht="14.45" customHeight="1" x14ac:dyDescent="0.25"/>
    <row r="202" spans="238:238" x14ac:dyDescent="0.25">
      <c r="ID202" s="11"/>
    </row>
    <row r="1900" spans="12201:12203" x14ac:dyDescent="0.25">
      <c r="RAH1900" s="12" t="s">
        <v>102</v>
      </c>
    </row>
    <row r="1901" spans="12201:12203" x14ac:dyDescent="0.25">
      <c r="RAH1901" s="13" t="str">
        <f ca="1">IF(RAH1901=0,IF('Ejercicio 1'!C3="a)",0,TEXT(NOW(),"dd/mm/aaaa")&amp;"  a las  "&amp;TEXT(NOW(),"hh:mm:ss")),RAH1901)</f>
        <v>15/02/Thursday  a las  22:12:58</v>
      </c>
    </row>
    <row r="1903" spans="12201:12203" x14ac:dyDescent="0.25">
      <c r="RAG1903" s="14">
        <f ca="1">IF(A3=RAI1904,RAG1903,NOW())</f>
        <v>45158.548069444441</v>
      </c>
      <c r="RAH1903" s="12" t="s">
        <v>103</v>
      </c>
      <c r="RAI1903" s="15" t="s">
        <v>104</v>
      </c>
    </row>
    <row r="1904" spans="12201:12203" x14ac:dyDescent="0.25">
      <c r="RAG1904" s="15"/>
      <c r="RAH1904" s="115">
        <f ca="1">IF(RAG1903=0,"-",IF(A3=RAI1904,RAH1904,RAH1904&amp;"👉  "&amp;TEXT(RAG1903,"dd/mm/aaaa hh:mm:ss")&amp;".-- "&amp;" --&gt;  "&amp;"("&amp;A3&amp;")"))</f>
        <v>0</v>
      </c>
      <c r="RAI1904" s="15">
        <f ca="1">IF(A3=RAI1904,RAI1904,A3)</f>
        <v>0</v>
      </c>
    </row>
    <row r="1905" spans="12201:12203" x14ac:dyDescent="0.25">
      <c r="RAG1905" s="15"/>
      <c r="RAH1905" s="115"/>
      <c r="RAI1905" s="15"/>
    </row>
    <row r="1906" spans="12201:12203" x14ac:dyDescent="0.25">
      <c r="RAG1906" s="15"/>
      <c r="RAH1906" s="115"/>
      <c r="RAI1906" s="15"/>
    </row>
    <row r="1907" spans="12201:12203" x14ac:dyDescent="0.25">
      <c r="RAG1907" s="15"/>
      <c r="RAH1907" s="115"/>
      <c r="RAI1907" s="15"/>
    </row>
    <row r="1908" spans="12201:12203" x14ac:dyDescent="0.25">
      <c r="RAG1908" s="15"/>
      <c r="RAH1908" s="115"/>
      <c r="RAI1908" s="15"/>
    </row>
    <row r="1909" spans="12201:12203" x14ac:dyDescent="0.25">
      <c r="RAG1909" s="15"/>
      <c r="RAH1909" s="115"/>
      <c r="RAI1909" s="15"/>
    </row>
    <row r="1910" spans="12201:12203" x14ac:dyDescent="0.25">
      <c r="RAG1910" s="15"/>
      <c r="RAH1910" s="115"/>
      <c r="RAI1910" s="15"/>
    </row>
    <row r="1911" spans="12201:12203" x14ac:dyDescent="0.25">
      <c r="RAG1911" s="15"/>
      <c r="RAH1911" s="115"/>
      <c r="RAI1911" s="15"/>
    </row>
    <row r="1912" spans="12201:12203" x14ac:dyDescent="0.25">
      <c r="RAG1912" s="15"/>
      <c r="RAH1912" s="115"/>
      <c r="RAI1912" s="15"/>
    </row>
    <row r="1913" spans="12201:12203" x14ac:dyDescent="0.25">
      <c r="RAG1913" s="15"/>
      <c r="RAH1913" s="115"/>
      <c r="RAI1913" s="15"/>
    </row>
  </sheetData>
  <sheetProtection algorithmName="SHA-512" hashValue="Z2n6SEA9+tOO9/YNikJhR9uRONmO3Fl+R8X7KHuyPAqyCB1tIvR8Nn1gHsO2ALvGhScgWVr/J8GHJXYN4pcKbA==" saltValue="D8Tgc7Os7ULotFvKorXVLw==" spinCount="100000" sheet="1" selectLockedCells="1"/>
  <mergeCells count="4">
    <mergeCell ref="A1:D1"/>
    <mergeCell ref="B2:D2"/>
    <mergeCell ref="A3:D6"/>
    <mergeCell ref="RAH1904:RAH1913"/>
  </mergeCells>
  <conditionalFormatting sqref="RAH1900">
    <cfRule type="expression" dxfId="3" priority="2">
      <formula>$RAH$1901&lt;&gt;0</formula>
    </cfRule>
  </conditionalFormatting>
  <conditionalFormatting sqref="RAH1901">
    <cfRule type="cellIs" dxfId="2" priority="3" operator="equal">
      <formula>0</formula>
    </cfRule>
  </conditionalFormatting>
  <conditionalFormatting sqref="RAH1903">
    <cfRule type="expression" dxfId="1" priority="1">
      <formula>$RAH$1904&lt;&gt;0</formula>
    </cfRule>
  </conditionalFormatting>
  <conditionalFormatting sqref="RAH1904:RAH1913">
    <cfRule type="cellIs" dxfId="0" priority="4" operator="equal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6" tint="-0.249977111117893"/>
  </sheetPr>
  <dimension ref="A1:IV65536"/>
  <sheetViews>
    <sheetView workbookViewId="0">
      <selection activeCell="F22" sqref="F22"/>
    </sheetView>
  </sheetViews>
  <sheetFormatPr baseColWidth="10" defaultColWidth="9.140625" defaultRowHeight="12.75" x14ac:dyDescent="0.2"/>
  <cols>
    <col min="1" max="1" width="10.28515625" customWidth="1"/>
    <col min="2" max="2" width="18.140625" customWidth="1"/>
    <col min="3" max="3" width="14.140625" customWidth="1"/>
    <col min="4" max="4" width="12.5703125" customWidth="1"/>
    <col min="5" max="5" width="12.85546875" customWidth="1"/>
    <col min="6" max="6" width="16.28515625" customWidth="1"/>
    <col min="7" max="7" width="12.5703125" customWidth="1"/>
  </cols>
  <sheetData>
    <row r="1" spans="1:7" ht="23.25" x14ac:dyDescent="0.35">
      <c r="A1" s="116" t="s">
        <v>0</v>
      </c>
      <c r="B1" s="116"/>
      <c r="C1" s="116"/>
      <c r="D1" s="116"/>
      <c r="E1" s="116"/>
      <c r="F1" s="116"/>
      <c r="G1" s="116"/>
    </row>
    <row r="3" spans="1:7" x14ac:dyDescent="0.2">
      <c r="A3" t="s">
        <v>1</v>
      </c>
      <c r="C3" s="16">
        <f ca="1">NOW()</f>
        <v>45342.833971527776</v>
      </c>
    </row>
    <row r="4" spans="1:7" x14ac:dyDescent="0.2">
      <c r="A4" t="s">
        <v>2</v>
      </c>
      <c r="C4" s="17">
        <f ca="1">NOW()</f>
        <v>45342.833971527776</v>
      </c>
      <c r="F4" t="s">
        <v>3</v>
      </c>
      <c r="G4" s="7" t="s">
        <v>105</v>
      </c>
    </row>
    <row r="5" spans="1:7" ht="13.5" thickBot="1" x14ac:dyDescent="0.25"/>
    <row r="6" spans="1:7" ht="25.5" x14ac:dyDescent="0.2">
      <c r="A6" s="30" t="s">
        <v>4</v>
      </c>
      <c r="B6" s="31" t="s">
        <v>5</v>
      </c>
      <c r="C6" s="31" t="s">
        <v>6</v>
      </c>
      <c r="D6" s="31" t="s">
        <v>7</v>
      </c>
      <c r="E6" s="31" t="s">
        <v>8</v>
      </c>
      <c r="F6" s="31" t="s">
        <v>9</v>
      </c>
      <c r="G6" s="32" t="s">
        <v>10</v>
      </c>
    </row>
    <row r="7" spans="1:7" x14ac:dyDescent="0.2">
      <c r="A7" s="21">
        <v>311</v>
      </c>
      <c r="B7" s="20" t="s">
        <v>11</v>
      </c>
      <c r="C7" s="24">
        <v>119550</v>
      </c>
      <c r="D7" s="24">
        <v>119000</v>
      </c>
      <c r="E7" s="24">
        <v>118500</v>
      </c>
      <c r="F7" s="25">
        <f>SUM(C7:E7)</f>
        <v>357050</v>
      </c>
      <c r="G7" s="26">
        <f>PRODUCT(F7*G4)</f>
        <v>12496.750000000002</v>
      </c>
    </row>
    <row r="8" spans="1:7" x14ac:dyDescent="0.2">
      <c r="A8" s="21">
        <v>1725</v>
      </c>
      <c r="B8" s="20" t="s">
        <v>12</v>
      </c>
      <c r="C8" s="24">
        <v>123450</v>
      </c>
      <c r="D8" s="24">
        <v>126500</v>
      </c>
      <c r="E8" s="24">
        <v>120000</v>
      </c>
      <c r="F8" s="25">
        <f t="shared" ref="F8:F13" si="0">SUM(C8:E8)</f>
        <v>369950</v>
      </c>
      <c r="G8" s="26">
        <f>PRODUCT(F8*G4)</f>
        <v>12948.250000000002</v>
      </c>
    </row>
    <row r="9" spans="1:7" x14ac:dyDescent="0.2">
      <c r="A9" s="21">
        <v>1231</v>
      </c>
      <c r="B9" s="20" t="s">
        <v>13</v>
      </c>
      <c r="C9" s="24">
        <v>208050</v>
      </c>
      <c r="D9" s="24">
        <v>214000</v>
      </c>
      <c r="E9" s="24">
        <v>217000</v>
      </c>
      <c r="F9" s="25">
        <f t="shared" si="0"/>
        <v>639050</v>
      </c>
      <c r="G9" s="26">
        <f>PRODUCT(F9*G4)</f>
        <v>22366.750000000004</v>
      </c>
    </row>
    <row r="10" spans="1:7" x14ac:dyDescent="0.2">
      <c r="A10" s="21">
        <v>666</v>
      </c>
      <c r="B10" s="20" t="s">
        <v>14</v>
      </c>
      <c r="C10" s="24">
        <v>125666</v>
      </c>
      <c r="D10" s="24">
        <v>132666</v>
      </c>
      <c r="E10" s="24">
        <v>125666</v>
      </c>
      <c r="F10" s="25">
        <f t="shared" si="0"/>
        <v>383998</v>
      </c>
      <c r="G10" s="26">
        <f>PRODUCT(F10*G4)</f>
        <v>13439.930000000002</v>
      </c>
    </row>
    <row r="11" spans="1:7" x14ac:dyDescent="0.2">
      <c r="A11" s="21">
        <v>564</v>
      </c>
      <c r="B11" s="20" t="s">
        <v>15</v>
      </c>
      <c r="C11" s="24">
        <v>226450</v>
      </c>
      <c r="D11" s="24">
        <v>229000</v>
      </c>
      <c r="E11" s="24">
        <v>260000</v>
      </c>
      <c r="F11" s="25">
        <f t="shared" si="0"/>
        <v>715450</v>
      </c>
      <c r="G11" s="26">
        <f>PRODUCT(F11*G4)</f>
        <v>25040.750000000004</v>
      </c>
    </row>
    <row r="12" spans="1:7" x14ac:dyDescent="0.2">
      <c r="A12" s="21">
        <v>2381</v>
      </c>
      <c r="B12" s="19" t="s">
        <v>16</v>
      </c>
      <c r="C12" s="24">
        <v>216850</v>
      </c>
      <c r="D12" s="24">
        <v>217800</v>
      </c>
      <c r="E12" s="24">
        <v>219900</v>
      </c>
      <c r="F12" s="25">
        <f t="shared" si="0"/>
        <v>654550</v>
      </c>
      <c r="G12" s="26">
        <f>PRODUCT(F12*G4)</f>
        <v>22909.250000000004</v>
      </c>
    </row>
    <row r="13" spans="1:7" x14ac:dyDescent="0.2">
      <c r="A13" s="21">
        <v>2984</v>
      </c>
      <c r="B13" s="19" t="s">
        <v>17</v>
      </c>
      <c r="C13" s="24">
        <v>109950</v>
      </c>
      <c r="D13" s="24">
        <v>116500</v>
      </c>
      <c r="E13" s="24">
        <v>116600</v>
      </c>
      <c r="F13" s="25">
        <f t="shared" si="0"/>
        <v>343050</v>
      </c>
      <c r="G13" s="26">
        <f>PRODUCT(F13*G4)</f>
        <v>12006.750000000002</v>
      </c>
    </row>
    <row r="14" spans="1:7" ht="13.5" thickBot="1" x14ac:dyDescent="0.25">
      <c r="A14" s="22" t="s">
        <v>18</v>
      </c>
      <c r="B14" s="23"/>
      <c r="C14" s="27">
        <f>SUM(C7:C13)</f>
        <v>1129966</v>
      </c>
      <c r="D14" s="27">
        <f t="shared" ref="D14:E14" si="1">SUM(D7:D13)</f>
        <v>1155466</v>
      </c>
      <c r="E14" s="27">
        <f t="shared" si="1"/>
        <v>1177666</v>
      </c>
      <c r="F14" s="28">
        <f>SUM(C14:E14)</f>
        <v>3463098</v>
      </c>
      <c r="G14" s="29">
        <f>SUM(G7:G13)</f>
        <v>121208.43000000001</v>
      </c>
    </row>
    <row r="16" spans="1:7" x14ac:dyDescent="0.2">
      <c r="A16" t="s">
        <v>19</v>
      </c>
      <c r="F16" s="18">
        <f>G14/COUNT(A7:A13)</f>
        <v>17315.490000000002</v>
      </c>
      <c r="G16" s="1"/>
    </row>
    <row r="17" spans="1:6" x14ac:dyDescent="0.2">
      <c r="A17" t="s">
        <v>20</v>
      </c>
      <c r="F17" s="18">
        <f>F14/COUNT(C7:E13)</f>
        <v>164909.42857142858</v>
      </c>
    </row>
    <row r="18" spans="1:6" x14ac:dyDescent="0.2">
      <c r="A18" t="s">
        <v>21</v>
      </c>
      <c r="F18" s="33">
        <f>MAX(C7:E13)</f>
        <v>260000</v>
      </c>
    </row>
    <row r="19" spans="1:6" x14ac:dyDescent="0.2">
      <c r="A19" t="s">
        <v>22</v>
      </c>
      <c r="F19" s="33">
        <f>MIN(C7:E13)</f>
        <v>109950</v>
      </c>
    </row>
    <row r="20" spans="1:6" x14ac:dyDescent="0.2">
      <c r="A20" t="s">
        <v>23</v>
      </c>
      <c r="F20" s="33">
        <f>MAX(G7:G13)</f>
        <v>25040.750000000004</v>
      </c>
    </row>
    <row r="21" spans="1:6" x14ac:dyDescent="0.2">
      <c r="A21" t="s">
        <v>24</v>
      </c>
      <c r="F21" s="33">
        <f>MIN(G7:G13)</f>
        <v>12006.750000000002</v>
      </c>
    </row>
    <row r="22" spans="1:6" x14ac:dyDescent="0.2">
      <c r="A22" t="s">
        <v>25</v>
      </c>
      <c r="F22" s="1">
        <f>COUNT(A7:A13)</f>
        <v>7</v>
      </c>
    </row>
    <row r="100" spans="1:1" x14ac:dyDescent="0.2">
      <c r="A100" s="5">
        <v>41730</v>
      </c>
    </row>
    <row r="65536" spans="256:256" x14ac:dyDescent="0.2">
      <c r="IV65536" s="3" t="s">
        <v>26</v>
      </c>
    </row>
  </sheetData>
  <mergeCells count="1">
    <mergeCell ref="A1:G1"/>
  </mergeCells>
  <phoneticPr fontId="0" type="noConversion"/>
  <pageMargins left="0.75" right="0.75" top="1" bottom="1" header="0" footer="0"/>
  <pageSetup paperSize="9" orientation="portrait" r:id="rId1"/>
  <headerFooter alignWithMargins="0"/>
  <ignoredErrors>
    <ignoredError sqref="G4" numberStoredAsText="1"/>
    <ignoredError sqref="F14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9" tint="-0.249977111117893"/>
  </sheetPr>
  <dimension ref="A2:IV65536"/>
  <sheetViews>
    <sheetView workbookViewId="0">
      <selection activeCell="F27" sqref="F27"/>
    </sheetView>
  </sheetViews>
  <sheetFormatPr baseColWidth="10" defaultColWidth="11.42578125" defaultRowHeight="12.75" x14ac:dyDescent="0.2"/>
  <cols>
    <col min="1" max="1" width="9.140625" customWidth="1"/>
    <col min="2" max="2" width="13.140625" customWidth="1"/>
    <col min="5" max="5" width="9.42578125" customWidth="1"/>
    <col min="6" max="6" width="10" customWidth="1"/>
  </cols>
  <sheetData>
    <row r="2" spans="1:9" ht="34.5" customHeight="1" x14ac:dyDescent="0.2">
      <c r="A2" s="117" t="s">
        <v>27</v>
      </c>
      <c r="B2" s="117"/>
      <c r="C2" s="117"/>
      <c r="D2" s="117"/>
      <c r="E2" s="117"/>
      <c r="F2" s="117"/>
      <c r="G2" s="117"/>
      <c r="H2" s="117"/>
    </row>
    <row r="3" spans="1:9" ht="13.5" thickBot="1" x14ac:dyDescent="0.25"/>
    <row r="4" spans="1:9" ht="26.25" thickBot="1" x14ac:dyDescent="0.25">
      <c r="A4" s="50" t="s">
        <v>28</v>
      </c>
      <c r="B4" s="51" t="s">
        <v>29</v>
      </c>
      <c r="C4" s="51" t="s">
        <v>30</v>
      </c>
      <c r="D4" s="51" t="s">
        <v>31</v>
      </c>
      <c r="E4" s="51" t="s">
        <v>32</v>
      </c>
      <c r="F4" s="51" t="s">
        <v>33</v>
      </c>
      <c r="G4" s="51" t="s">
        <v>34</v>
      </c>
      <c r="H4" s="52" t="s">
        <v>35</v>
      </c>
      <c r="I4" s="34"/>
    </row>
    <row r="5" spans="1:9" ht="13.5" thickBot="1" x14ac:dyDescent="0.25">
      <c r="A5" s="41">
        <v>19994</v>
      </c>
      <c r="B5" s="39" t="s">
        <v>40</v>
      </c>
      <c r="C5" s="36">
        <v>43235</v>
      </c>
      <c r="D5" s="37" t="str">
        <f t="shared" ref="D5:D21" si="0">IF(C5&gt;DATE(2017,12,31),"VENCIDO","OK")</f>
        <v>VENCIDO</v>
      </c>
      <c r="E5" s="35">
        <v>128</v>
      </c>
      <c r="F5" s="35">
        <v>80</v>
      </c>
      <c r="G5" s="38" t="str">
        <f t="shared" ref="G5:G21" si="1">IF(F5&gt;E5, "REPONER", "")</f>
        <v/>
      </c>
      <c r="H5" s="43" t="str">
        <f>IF(E5&gt;=(F5*1.3),"OFERTAR","")</f>
        <v>OFERTAR</v>
      </c>
      <c r="I5" s="4"/>
    </row>
    <row r="6" spans="1:9" ht="13.5" thickBot="1" x14ac:dyDescent="0.25">
      <c r="A6" s="41">
        <v>9726</v>
      </c>
      <c r="B6" s="35" t="s">
        <v>40</v>
      </c>
      <c r="C6" s="36">
        <v>42431</v>
      </c>
      <c r="D6" s="37" t="str">
        <f t="shared" si="0"/>
        <v>OK</v>
      </c>
      <c r="E6" s="35">
        <v>715</v>
      </c>
      <c r="F6" s="35">
        <v>600</v>
      </c>
      <c r="G6" s="38" t="str">
        <f t="shared" si="1"/>
        <v/>
      </c>
      <c r="H6" s="42" t="str">
        <f>IF(E6&gt;=(F6*1.3),"OFERTAR","")</f>
        <v/>
      </c>
      <c r="I6" s="4"/>
    </row>
    <row r="7" spans="1:9" ht="13.5" thickBot="1" x14ac:dyDescent="0.25">
      <c r="A7" s="41"/>
      <c r="B7" s="35" t="s">
        <v>40</v>
      </c>
      <c r="C7" s="36">
        <v>42861</v>
      </c>
      <c r="D7" s="37" t="str">
        <f t="shared" si="0"/>
        <v>OK</v>
      </c>
      <c r="E7" s="35">
        <v>79</v>
      </c>
      <c r="F7" s="35">
        <v>170</v>
      </c>
      <c r="G7" s="40" t="str">
        <f t="shared" si="1"/>
        <v>REPONER</v>
      </c>
      <c r="H7" s="42" t="str">
        <f>IF(E7&gt;=(F7*1.3),"OFERTAR","")</f>
        <v/>
      </c>
    </row>
    <row r="8" spans="1:9" ht="13.5" thickBot="1" x14ac:dyDescent="0.25">
      <c r="A8" s="41">
        <v>21864</v>
      </c>
      <c r="B8" s="35" t="s">
        <v>36</v>
      </c>
      <c r="C8" s="36">
        <v>42817</v>
      </c>
      <c r="D8" s="37" t="str">
        <f t="shared" si="0"/>
        <v>OK</v>
      </c>
      <c r="E8" s="35">
        <v>457</v>
      </c>
      <c r="F8" s="35">
        <v>450</v>
      </c>
      <c r="G8" s="38" t="str">
        <f t="shared" si="1"/>
        <v/>
      </c>
      <c r="H8" s="42" t="str">
        <f>IF(E8&gt;=(F8*1.3),"OFERTAR","")</f>
        <v/>
      </c>
    </row>
    <row r="9" spans="1:9" ht="13.5" thickBot="1" x14ac:dyDescent="0.25">
      <c r="A9" s="41">
        <v>19989</v>
      </c>
      <c r="B9" s="39" t="s">
        <v>36</v>
      </c>
      <c r="C9" s="36">
        <v>42892</v>
      </c>
      <c r="D9" s="37" t="str">
        <f t="shared" si="0"/>
        <v>OK</v>
      </c>
      <c r="E9" s="35">
        <v>190</v>
      </c>
      <c r="F9" s="35">
        <v>105</v>
      </c>
      <c r="G9" s="38" t="str">
        <f t="shared" si="1"/>
        <v/>
      </c>
      <c r="H9" s="43" t="str">
        <f>IF(E9&gt;=(F9*1.3),"OFERTAR","")</f>
        <v>OFERTAR</v>
      </c>
    </row>
    <row r="10" spans="1:9" ht="13.5" thickBot="1" x14ac:dyDescent="0.25">
      <c r="A10" s="41">
        <v>12553</v>
      </c>
      <c r="B10" s="35" t="s">
        <v>36</v>
      </c>
      <c r="C10" s="36">
        <v>42565</v>
      </c>
      <c r="D10" s="37" t="str">
        <f t="shared" si="0"/>
        <v>OK</v>
      </c>
      <c r="E10" s="35">
        <v>98</v>
      </c>
      <c r="F10" s="35">
        <v>120</v>
      </c>
      <c r="G10" s="40" t="str">
        <f t="shared" si="1"/>
        <v>REPONER</v>
      </c>
      <c r="H10" s="42" t="str">
        <f>IF(E10&gt;=(F10*1.3),"OFERTAR","")</f>
        <v/>
      </c>
    </row>
    <row r="11" spans="1:9" ht="13.5" thickBot="1" x14ac:dyDescent="0.25">
      <c r="A11" s="41">
        <v>11105</v>
      </c>
      <c r="B11" s="35" t="s">
        <v>36</v>
      </c>
      <c r="C11" s="36">
        <v>43330</v>
      </c>
      <c r="D11" s="37" t="str">
        <f t="shared" si="0"/>
        <v>VENCIDO</v>
      </c>
      <c r="E11" s="35">
        <v>1600</v>
      </c>
      <c r="F11" s="35">
        <v>1600</v>
      </c>
      <c r="G11" s="38" t="str">
        <f t="shared" si="1"/>
        <v/>
      </c>
      <c r="H11" s="42" t="str">
        <f>IF(E11&gt;=(F11*1.3),"OFERTAR","")</f>
        <v/>
      </c>
    </row>
    <row r="12" spans="1:9" ht="13.5" thickBot="1" x14ac:dyDescent="0.25">
      <c r="A12" s="41">
        <v>8874</v>
      </c>
      <c r="B12" s="35" t="s">
        <v>36</v>
      </c>
      <c r="C12" s="36">
        <v>43100</v>
      </c>
      <c r="D12" s="37" t="str">
        <f t="shared" si="0"/>
        <v>OK</v>
      </c>
      <c r="E12" s="35">
        <v>5700</v>
      </c>
      <c r="F12" s="35">
        <v>5000</v>
      </c>
      <c r="G12" s="38" t="str">
        <f t="shared" si="1"/>
        <v/>
      </c>
      <c r="H12" s="42" t="str">
        <f>IF(E12&gt;=(F12*1.3),"OFERTAR","")</f>
        <v/>
      </c>
    </row>
    <row r="13" spans="1:9" ht="13.5" thickBot="1" x14ac:dyDescent="0.25">
      <c r="A13" s="41">
        <v>14135</v>
      </c>
      <c r="B13" s="35" t="s">
        <v>38</v>
      </c>
      <c r="C13" s="36">
        <v>43091</v>
      </c>
      <c r="D13" s="37" t="str">
        <f t="shared" si="0"/>
        <v>OK</v>
      </c>
      <c r="E13" s="35">
        <v>1563</v>
      </c>
      <c r="F13" s="35">
        <v>1500</v>
      </c>
      <c r="G13" s="38" t="str">
        <f t="shared" si="1"/>
        <v/>
      </c>
      <c r="H13" s="42" t="str">
        <f>IF(E13&gt;=(F13*1.3),"OFERTAR","")</f>
        <v/>
      </c>
    </row>
    <row r="14" spans="1:9" ht="13.5" thickBot="1" x14ac:dyDescent="0.25">
      <c r="A14" s="41">
        <v>10108</v>
      </c>
      <c r="B14" s="35" t="s">
        <v>38</v>
      </c>
      <c r="C14" s="36">
        <v>42543</v>
      </c>
      <c r="D14" s="37" t="str">
        <f t="shared" si="0"/>
        <v>OK</v>
      </c>
      <c r="E14" s="35">
        <v>721</v>
      </c>
      <c r="F14" s="35">
        <v>480</v>
      </c>
      <c r="G14" s="38" t="str">
        <f t="shared" si="1"/>
        <v/>
      </c>
      <c r="H14" s="43" t="str">
        <f>IF(E14&gt;=(F14*1.3),"OFERTAR","")</f>
        <v>OFERTAR</v>
      </c>
    </row>
    <row r="15" spans="1:9" ht="13.5" thickBot="1" x14ac:dyDescent="0.25">
      <c r="A15" s="41">
        <v>8982</v>
      </c>
      <c r="B15" s="35" t="s">
        <v>38</v>
      </c>
      <c r="C15" s="36">
        <v>42583</v>
      </c>
      <c r="D15" s="37" t="str">
        <f t="shared" si="0"/>
        <v>OK</v>
      </c>
      <c r="E15" s="35">
        <v>6800</v>
      </c>
      <c r="F15" s="35">
        <v>6200</v>
      </c>
      <c r="G15" s="38" t="str">
        <f t="shared" si="1"/>
        <v/>
      </c>
      <c r="H15" s="42" t="str">
        <f>IF(E15&gt;=(F15*1.3),"OFERTAR","")</f>
        <v/>
      </c>
    </row>
    <row r="16" spans="1:9" ht="13.5" thickBot="1" x14ac:dyDescent="0.25">
      <c r="A16" s="41"/>
      <c r="B16" s="39" t="s">
        <v>38</v>
      </c>
      <c r="C16" s="36">
        <v>43405</v>
      </c>
      <c r="D16" s="37" t="str">
        <f t="shared" si="0"/>
        <v>VENCIDO</v>
      </c>
      <c r="E16" s="35">
        <v>398</v>
      </c>
      <c r="F16" s="35">
        <v>600</v>
      </c>
      <c r="G16" s="40" t="str">
        <f t="shared" si="1"/>
        <v>REPONER</v>
      </c>
      <c r="H16" s="42" t="str">
        <f>IF(E16&gt;=(F16*1.3),"OFERTAR","")</f>
        <v/>
      </c>
    </row>
    <row r="17" spans="1:9" ht="13.5" customHeight="1" thickBot="1" x14ac:dyDescent="0.25">
      <c r="A17" s="41">
        <v>1175</v>
      </c>
      <c r="B17" s="39" t="s">
        <v>43</v>
      </c>
      <c r="C17" s="36">
        <v>42488</v>
      </c>
      <c r="D17" s="37" t="str">
        <f t="shared" si="0"/>
        <v>OK</v>
      </c>
      <c r="E17" s="35">
        <v>200</v>
      </c>
      <c r="F17" s="35">
        <v>198</v>
      </c>
      <c r="G17" s="38" t="str">
        <f t="shared" si="1"/>
        <v/>
      </c>
      <c r="H17" s="42" t="str">
        <f>IF(E17&gt;=(F17*1.3),"OFERTAR","")</f>
        <v/>
      </c>
    </row>
    <row r="18" spans="1:9" ht="13.5" thickBot="1" x14ac:dyDescent="0.25">
      <c r="A18" s="41">
        <v>12104</v>
      </c>
      <c r="B18" s="35" t="s">
        <v>41</v>
      </c>
      <c r="C18" s="36">
        <v>42616</v>
      </c>
      <c r="D18" s="37" t="str">
        <f t="shared" si="0"/>
        <v>OK</v>
      </c>
      <c r="E18" s="35">
        <v>456</v>
      </c>
      <c r="F18" s="35">
        <v>600</v>
      </c>
      <c r="G18" s="40" t="str">
        <f t="shared" si="1"/>
        <v>REPONER</v>
      </c>
      <c r="H18" s="42" t="str">
        <f>IF(E18&gt;=(F18*1.3),"OFERTAR","")</f>
        <v/>
      </c>
      <c r="I18" s="4"/>
    </row>
    <row r="19" spans="1:9" ht="13.5" thickBot="1" x14ac:dyDescent="0.25">
      <c r="A19" s="41"/>
      <c r="B19" s="39" t="s">
        <v>42</v>
      </c>
      <c r="C19" s="36">
        <v>43212</v>
      </c>
      <c r="D19" s="37" t="str">
        <f t="shared" si="0"/>
        <v>VENCIDO</v>
      </c>
      <c r="E19" s="35">
        <v>6</v>
      </c>
      <c r="F19" s="35">
        <v>4</v>
      </c>
      <c r="G19" s="38" t="str">
        <f t="shared" si="1"/>
        <v/>
      </c>
      <c r="H19" s="43" t="str">
        <f>IF(E19&gt;=(F19*1.3),"OFERTAR","")</f>
        <v>OFERTAR</v>
      </c>
    </row>
    <row r="20" spans="1:9" ht="13.5" thickBot="1" x14ac:dyDescent="0.25">
      <c r="A20" s="41">
        <v>10110</v>
      </c>
      <c r="B20" s="39" t="s">
        <v>39</v>
      </c>
      <c r="C20" s="36">
        <v>43266</v>
      </c>
      <c r="D20" s="37" t="str">
        <f t="shared" si="0"/>
        <v>VENCIDO</v>
      </c>
      <c r="E20" s="35">
        <v>5500</v>
      </c>
      <c r="F20" s="35">
        <v>6000</v>
      </c>
      <c r="G20" s="40" t="str">
        <f t="shared" si="1"/>
        <v>REPONER</v>
      </c>
      <c r="H20" s="42" t="str">
        <f>IF(E20&gt;=(F20*1.3),"OFERTAR","")</f>
        <v/>
      </c>
    </row>
    <row r="21" spans="1:9" ht="13.5" thickBot="1" x14ac:dyDescent="0.25">
      <c r="A21" s="44">
        <v>11102</v>
      </c>
      <c r="B21" s="45" t="s">
        <v>37</v>
      </c>
      <c r="C21" s="46">
        <v>42736</v>
      </c>
      <c r="D21" s="47" t="str">
        <f t="shared" si="0"/>
        <v>OK</v>
      </c>
      <c r="E21" s="48">
        <v>4500</v>
      </c>
      <c r="F21" s="48">
        <v>4300</v>
      </c>
      <c r="G21" s="54" t="str">
        <f t="shared" si="1"/>
        <v/>
      </c>
      <c r="H21" s="49" t="str">
        <f>IF(E21&gt;=(F21*1.3),"OFERTAR","")</f>
        <v/>
      </c>
    </row>
    <row r="23" spans="1:9" x14ac:dyDescent="0.2">
      <c r="A23" s="53" t="s">
        <v>44</v>
      </c>
      <c r="B23" s="53"/>
      <c r="C23" s="53"/>
      <c r="D23" s="53"/>
      <c r="E23" s="53"/>
      <c r="F23" s="1">
        <f>COUNTIF(D5:D21, "VENCIDO")</f>
        <v>5</v>
      </c>
    </row>
    <row r="24" spans="1:9" x14ac:dyDescent="0.2">
      <c r="A24" s="53" t="s">
        <v>45</v>
      </c>
      <c r="B24" s="53"/>
      <c r="C24" s="53"/>
      <c r="D24" s="53"/>
      <c r="E24" s="53"/>
      <c r="F24" s="1">
        <f>COUNTIF(G5:G21,"REPONER")</f>
        <v>5</v>
      </c>
    </row>
    <row r="25" spans="1:9" x14ac:dyDescent="0.2">
      <c r="A25" s="53" t="s">
        <v>46</v>
      </c>
      <c r="B25" s="53"/>
      <c r="C25" s="53"/>
      <c r="D25" s="53"/>
      <c r="E25" s="53"/>
      <c r="F25" s="1">
        <f>COUNTIF(B5:B21,"Argentina")</f>
        <v>3</v>
      </c>
    </row>
    <row r="26" spans="1:9" x14ac:dyDescent="0.2">
      <c r="A26" s="53" t="s">
        <v>47</v>
      </c>
      <c r="B26" s="53"/>
      <c r="C26" s="53"/>
      <c r="D26" s="53"/>
      <c r="E26" s="53"/>
      <c r="F26" s="1">
        <f>COUNTIF(H5:H21, "OFERTAR")</f>
        <v>4</v>
      </c>
    </row>
    <row r="27" spans="1:9" x14ac:dyDescent="0.2">
      <c r="A27" s="53" t="s">
        <v>48</v>
      </c>
      <c r="B27" s="53"/>
      <c r="C27" s="53"/>
      <c r="D27" s="53"/>
      <c r="E27" s="53"/>
      <c r="F27" s="1">
        <f>COUNTIF(A5:A21,"")</f>
        <v>3</v>
      </c>
    </row>
    <row r="101" spans="1:1" x14ac:dyDescent="0.2">
      <c r="A101" s="6">
        <v>41730</v>
      </c>
    </row>
    <row r="65536" spans="256:256" x14ac:dyDescent="0.2">
      <c r="IV65536" s="3" t="s">
        <v>26</v>
      </c>
    </row>
  </sheetData>
  <sortState xmlns:xlrd2="http://schemas.microsoft.com/office/spreadsheetml/2017/richdata2" ref="A5:H21">
    <sortCondition ref="B5:B21"/>
    <sortCondition descending="1" ref="A5:A21"/>
  </sortState>
  <mergeCells count="1">
    <mergeCell ref="A2:H2"/>
  </mergeCells>
  <phoneticPr fontId="3" type="noConversion"/>
  <pageMargins left="0.75" right="0.75" top="1" bottom="1" header="0" footer="0"/>
  <pageSetup paperSize="9" orientation="portrait" horizontalDpi="0" verticalDpi="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8" tint="0.39997558519241921"/>
  </sheetPr>
  <dimension ref="A1:IV65536"/>
  <sheetViews>
    <sheetView workbookViewId="0">
      <selection activeCell="C20" sqref="C20"/>
    </sheetView>
  </sheetViews>
  <sheetFormatPr baseColWidth="10" defaultColWidth="11.42578125" defaultRowHeight="12.75" x14ac:dyDescent="0.2"/>
  <cols>
    <col min="1" max="1" width="7.5703125" customWidth="1"/>
    <col min="2" max="2" width="14.28515625" customWidth="1"/>
    <col min="3" max="3" width="14.85546875" bestFit="1" customWidth="1"/>
    <col min="4" max="4" width="13.85546875" bestFit="1" customWidth="1"/>
    <col min="5" max="5" width="13" bestFit="1" customWidth="1"/>
    <col min="6" max="6" width="12.28515625" bestFit="1" customWidth="1"/>
    <col min="8" max="10" width="12.28515625" bestFit="1" customWidth="1"/>
  </cols>
  <sheetData>
    <row r="1" spans="1:10" x14ac:dyDescent="0.2">
      <c r="A1" s="118" t="s">
        <v>49</v>
      </c>
      <c r="B1" s="118"/>
      <c r="C1" s="118"/>
      <c r="D1" s="118"/>
      <c r="E1" s="118"/>
      <c r="F1" s="118"/>
      <c r="G1" s="118"/>
      <c r="H1" s="118"/>
      <c r="I1" s="118"/>
      <c r="J1" s="119"/>
    </row>
    <row r="2" spans="1:10" x14ac:dyDescent="0.2">
      <c r="A2" s="120"/>
      <c r="B2" s="120"/>
      <c r="C2" s="120"/>
      <c r="D2" s="120"/>
      <c r="E2" s="120"/>
      <c r="F2" s="120"/>
      <c r="G2" s="120"/>
      <c r="H2" s="120"/>
      <c r="I2" s="120"/>
      <c r="J2" s="121"/>
    </row>
    <row r="3" spans="1:10" ht="25.5" x14ac:dyDescent="0.2">
      <c r="A3" s="57" t="s">
        <v>50</v>
      </c>
      <c r="B3" s="57" t="s">
        <v>51</v>
      </c>
      <c r="C3" s="57" t="s">
        <v>52</v>
      </c>
      <c r="D3" s="57" t="s">
        <v>53</v>
      </c>
      <c r="E3" s="57" t="s">
        <v>54</v>
      </c>
      <c r="F3" s="57" t="s">
        <v>55</v>
      </c>
      <c r="G3" s="57" t="s">
        <v>56</v>
      </c>
      <c r="H3" s="57" t="s">
        <v>57</v>
      </c>
      <c r="I3" s="58" t="s">
        <v>58</v>
      </c>
      <c r="J3" s="58" t="s">
        <v>59</v>
      </c>
    </row>
    <row r="4" spans="1:10" x14ac:dyDescent="0.2">
      <c r="A4" s="55" t="s">
        <v>60</v>
      </c>
      <c r="B4" s="19">
        <v>120</v>
      </c>
      <c r="C4" s="63">
        <f>B4*C$12</f>
        <v>11880000</v>
      </c>
      <c r="D4" s="64">
        <f>C4*$C$13</f>
        <v>1188000</v>
      </c>
      <c r="E4" s="65">
        <f t="shared" ref="E4:E9" si="0">C4*C$14</f>
        <v>297000</v>
      </c>
      <c r="F4" s="69">
        <f>C4*C$15</f>
        <v>118800</v>
      </c>
      <c r="G4" s="69">
        <f>C4*C$16</f>
        <v>594000</v>
      </c>
      <c r="H4" s="64">
        <f>SUM(C4:G4)</f>
        <v>14077800</v>
      </c>
      <c r="I4" s="64">
        <f>SUM(H4-H4*8%)</f>
        <v>12951576</v>
      </c>
      <c r="J4" s="64">
        <f>SUM(H4+H4*10%)</f>
        <v>15485580</v>
      </c>
    </row>
    <row r="5" spans="1:10" x14ac:dyDescent="0.2">
      <c r="A5" s="55" t="s">
        <v>61</v>
      </c>
      <c r="B5" s="19">
        <v>150</v>
      </c>
      <c r="C5" s="63">
        <f t="shared" ref="C5:C9" si="1">B5*C$12</f>
        <v>14850000</v>
      </c>
      <c r="D5" s="64">
        <f t="shared" ref="D5:D9" si="2">C5*C$13</f>
        <v>1485000</v>
      </c>
      <c r="E5" s="65">
        <f t="shared" si="0"/>
        <v>371250</v>
      </c>
      <c r="F5" s="69">
        <f t="shared" ref="F5:F9" si="3">C5*C$15</f>
        <v>148500</v>
      </c>
      <c r="G5" s="69">
        <f t="shared" ref="G5:G9" si="4">C5*C$16</f>
        <v>742500</v>
      </c>
      <c r="H5" s="64">
        <f t="shared" ref="H5:H9" si="5">SUM(C5:G5)</f>
        <v>17597250</v>
      </c>
      <c r="I5" s="64">
        <f t="shared" ref="I5:I9" si="6">SUM(H5-H5*8%)</f>
        <v>16189470</v>
      </c>
      <c r="J5" s="64">
        <f t="shared" ref="J5:J9" si="7">SUM(H5+H5*10%)</f>
        <v>19356975</v>
      </c>
    </row>
    <row r="6" spans="1:10" x14ac:dyDescent="0.2">
      <c r="A6" s="55" t="s">
        <v>62</v>
      </c>
      <c r="B6" s="19">
        <v>125</v>
      </c>
      <c r="C6" s="63">
        <f t="shared" si="1"/>
        <v>12375000</v>
      </c>
      <c r="D6" s="64">
        <f t="shared" si="2"/>
        <v>1237500</v>
      </c>
      <c r="E6" s="65">
        <f t="shared" si="0"/>
        <v>309375</v>
      </c>
      <c r="F6" s="69">
        <f t="shared" si="3"/>
        <v>123750</v>
      </c>
      <c r="G6" s="69">
        <f t="shared" si="4"/>
        <v>618750</v>
      </c>
      <c r="H6" s="64">
        <f t="shared" si="5"/>
        <v>14664375</v>
      </c>
      <c r="I6" s="64">
        <f t="shared" si="6"/>
        <v>13491225</v>
      </c>
      <c r="J6" s="64">
        <f t="shared" si="7"/>
        <v>16130812.5</v>
      </c>
    </row>
    <row r="7" spans="1:10" x14ac:dyDescent="0.2">
      <c r="A7" s="55" t="s">
        <v>63</v>
      </c>
      <c r="B7" s="19">
        <v>140</v>
      </c>
      <c r="C7" s="63">
        <f t="shared" si="1"/>
        <v>13860000</v>
      </c>
      <c r="D7" s="64">
        <f t="shared" si="2"/>
        <v>1386000</v>
      </c>
      <c r="E7" s="65">
        <f t="shared" si="0"/>
        <v>346500</v>
      </c>
      <c r="F7" s="69">
        <f t="shared" si="3"/>
        <v>138600</v>
      </c>
      <c r="G7" s="69">
        <f t="shared" si="4"/>
        <v>693000</v>
      </c>
      <c r="H7" s="64">
        <f t="shared" si="5"/>
        <v>16424100</v>
      </c>
      <c r="I7" s="64">
        <f t="shared" si="6"/>
        <v>15110172</v>
      </c>
      <c r="J7" s="64">
        <f t="shared" si="7"/>
        <v>18066510</v>
      </c>
    </row>
    <row r="8" spans="1:10" x14ac:dyDescent="0.2">
      <c r="A8" s="55" t="s">
        <v>64</v>
      </c>
      <c r="B8" s="19">
        <v>150</v>
      </c>
      <c r="C8" s="63">
        <f t="shared" si="1"/>
        <v>14850000</v>
      </c>
      <c r="D8" s="64">
        <f t="shared" si="2"/>
        <v>1485000</v>
      </c>
      <c r="E8" s="65">
        <f t="shared" si="0"/>
        <v>371250</v>
      </c>
      <c r="F8" s="69">
        <f t="shared" si="3"/>
        <v>148500</v>
      </c>
      <c r="G8" s="69">
        <f t="shared" si="4"/>
        <v>742500</v>
      </c>
      <c r="H8" s="64">
        <f t="shared" si="5"/>
        <v>17597250</v>
      </c>
      <c r="I8" s="64">
        <f t="shared" si="6"/>
        <v>16189470</v>
      </c>
      <c r="J8" s="64">
        <f t="shared" si="7"/>
        <v>19356975</v>
      </c>
    </row>
    <row r="9" spans="1:10" ht="13.5" thickBot="1" x14ac:dyDescent="0.25">
      <c r="A9" s="56" t="s">
        <v>65</v>
      </c>
      <c r="B9" s="23">
        <v>180</v>
      </c>
      <c r="C9" s="66">
        <f t="shared" si="1"/>
        <v>17820000</v>
      </c>
      <c r="D9" s="67">
        <f t="shared" si="2"/>
        <v>1782000</v>
      </c>
      <c r="E9" s="68">
        <f t="shared" si="0"/>
        <v>445500</v>
      </c>
      <c r="F9" s="70">
        <f t="shared" si="3"/>
        <v>178200</v>
      </c>
      <c r="G9" s="70">
        <f t="shared" si="4"/>
        <v>891000</v>
      </c>
      <c r="H9" s="67">
        <f t="shared" si="5"/>
        <v>21116700</v>
      </c>
      <c r="I9" s="67">
        <f t="shared" si="6"/>
        <v>19427364</v>
      </c>
      <c r="J9" s="67">
        <f t="shared" si="7"/>
        <v>23228370</v>
      </c>
    </row>
    <row r="12" spans="1:10" ht="14.25" x14ac:dyDescent="0.2">
      <c r="A12" s="59" t="s">
        <v>66</v>
      </c>
      <c r="B12" s="60"/>
      <c r="C12" s="24">
        <v>99000</v>
      </c>
    </row>
    <row r="13" spans="1:10" x14ac:dyDescent="0.2">
      <c r="A13" s="59" t="s">
        <v>67</v>
      </c>
      <c r="B13" s="60"/>
      <c r="C13" s="61">
        <v>0.1</v>
      </c>
    </row>
    <row r="14" spans="1:10" x14ac:dyDescent="0.2">
      <c r="A14" s="59" t="s">
        <v>68</v>
      </c>
      <c r="B14" s="60"/>
      <c r="C14" s="61">
        <v>2.5000000000000001E-2</v>
      </c>
    </row>
    <row r="15" spans="1:10" x14ac:dyDescent="0.2">
      <c r="A15" s="59" t="s">
        <v>69</v>
      </c>
      <c r="B15" s="60"/>
      <c r="C15" s="61">
        <v>0.01</v>
      </c>
    </row>
    <row r="16" spans="1:10" x14ac:dyDescent="0.2">
      <c r="A16" s="59" t="s">
        <v>70</v>
      </c>
      <c r="B16" s="60"/>
      <c r="C16" s="61">
        <v>0.05</v>
      </c>
    </row>
    <row r="19" spans="1:3" x14ac:dyDescent="0.2">
      <c r="A19" s="59" t="s">
        <v>71</v>
      </c>
      <c r="B19" s="60"/>
      <c r="C19" s="71">
        <f>AVERAGE(B4:B9)</f>
        <v>144.16666666666666</v>
      </c>
    </row>
    <row r="20" spans="1:3" x14ac:dyDescent="0.2">
      <c r="A20" s="62" t="s">
        <v>72</v>
      </c>
      <c r="B20" s="60"/>
      <c r="C20" s="72">
        <f>AVERAGE(G4:G9)</f>
        <v>713625</v>
      </c>
    </row>
    <row r="100" spans="1:1" x14ac:dyDescent="0.2">
      <c r="A100" s="6">
        <v>41730</v>
      </c>
    </row>
    <row r="65536" spans="256:256" x14ac:dyDescent="0.2">
      <c r="IV65536" s="3" t="s">
        <v>26</v>
      </c>
    </row>
  </sheetData>
  <mergeCells count="1">
    <mergeCell ref="A1:J2"/>
  </mergeCells>
  <phoneticPr fontId="3" type="noConversion"/>
  <pageMargins left="0.75" right="0.75" top="1" bottom="1" header="0" footer="0"/>
  <pageSetup paperSize="9" orientation="portrait" horizontalDpi="0" verticalDpi="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7030A0"/>
  </sheetPr>
  <dimension ref="A1:IV65536"/>
  <sheetViews>
    <sheetView tabSelected="1" topLeftCell="A30" workbookViewId="0">
      <selection activeCell="I73" sqref="I73"/>
    </sheetView>
  </sheetViews>
  <sheetFormatPr baseColWidth="10" defaultColWidth="11.42578125" defaultRowHeight="12.75" x14ac:dyDescent="0.2"/>
  <cols>
    <col min="3" max="3" width="12.85546875" bestFit="1" customWidth="1"/>
    <col min="4" max="4" width="12.7109375" customWidth="1"/>
    <col min="5" max="5" width="14.7109375" customWidth="1"/>
    <col min="6" max="6" width="12.7109375" customWidth="1"/>
    <col min="7" max="7" width="13.28515625" customWidth="1"/>
    <col min="9" max="9" width="12.28515625" customWidth="1"/>
    <col min="10" max="10" width="13.7109375" customWidth="1"/>
  </cols>
  <sheetData>
    <row r="1" spans="1:10" ht="28.5" thickBot="1" x14ac:dyDescent="0.45">
      <c r="A1" s="122" t="s">
        <v>73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10" x14ac:dyDescent="0.2">
      <c r="A2" s="73"/>
      <c r="B2" s="74"/>
      <c r="C2" s="74"/>
      <c r="D2" s="74"/>
      <c r="E2" s="74"/>
      <c r="F2" s="74"/>
      <c r="G2" s="74"/>
      <c r="H2" s="74"/>
      <c r="I2" s="74"/>
      <c r="J2" s="75"/>
    </row>
    <row r="3" spans="1:10" x14ac:dyDescent="0.2">
      <c r="A3" s="76" t="s">
        <v>74</v>
      </c>
      <c r="C3" t="s">
        <v>75</v>
      </c>
      <c r="G3" s="77"/>
      <c r="I3" t="s">
        <v>1</v>
      </c>
      <c r="J3" s="97">
        <f ca="1">TODAY()</f>
        <v>45342</v>
      </c>
    </row>
    <row r="4" spans="1:10" x14ac:dyDescent="0.2">
      <c r="A4" s="76" t="s">
        <v>76</v>
      </c>
      <c r="J4" s="78"/>
    </row>
    <row r="5" spans="1:10" ht="13.5" thickBot="1" x14ac:dyDescent="0.25">
      <c r="A5" s="79" t="s">
        <v>77</v>
      </c>
      <c r="B5" s="80"/>
      <c r="C5" s="96">
        <v>24500</v>
      </c>
      <c r="D5" s="80"/>
      <c r="E5" s="80"/>
      <c r="F5" s="80" t="s">
        <v>78</v>
      </c>
      <c r="G5" s="80"/>
      <c r="H5" s="81">
        <v>8.0000000000000004E-4</v>
      </c>
      <c r="I5" s="80"/>
      <c r="J5" s="82"/>
    </row>
    <row r="6" spans="1:10" ht="13.5" thickBot="1" x14ac:dyDescent="0.25"/>
    <row r="7" spans="1:10" ht="38.25" x14ac:dyDescent="0.2">
      <c r="A7" s="84" t="s">
        <v>79</v>
      </c>
      <c r="B7" s="85" t="s">
        <v>80</v>
      </c>
      <c r="C7" s="85" t="s">
        <v>81</v>
      </c>
      <c r="D7" s="85" t="s">
        <v>82</v>
      </c>
      <c r="E7" s="85" t="s">
        <v>83</v>
      </c>
      <c r="F7" s="86" t="s">
        <v>84</v>
      </c>
      <c r="G7" s="86" t="s">
        <v>85</v>
      </c>
      <c r="H7" s="86" t="s">
        <v>86</v>
      </c>
      <c r="I7" s="85" t="s">
        <v>87</v>
      </c>
      <c r="J7" s="87" t="s">
        <v>88</v>
      </c>
    </row>
    <row r="8" spans="1:10" x14ac:dyDescent="0.2">
      <c r="A8" s="21">
        <v>1</v>
      </c>
      <c r="B8" s="19">
        <v>1</v>
      </c>
      <c r="C8" s="19" t="s">
        <v>89</v>
      </c>
      <c r="D8" s="83">
        <v>0.08</v>
      </c>
      <c r="E8" s="98">
        <f>C$5*D8</f>
        <v>1960</v>
      </c>
      <c r="F8" s="99">
        <v>1650</v>
      </c>
      <c r="G8" s="100">
        <f ca="1">TODAY()-1700</f>
        <v>43642</v>
      </c>
      <c r="H8" s="101">
        <f ca="1">((DATEDIF(G8,$J$3,"D")*$H$5)*F8)+F8</f>
        <v>3894</v>
      </c>
      <c r="I8" s="101">
        <f ca="1">SUM(F8,H8)</f>
        <v>5544</v>
      </c>
      <c r="J8" s="88" t="str">
        <f ca="1">IF(AND(H8&gt;1500,G8&lt;DATE(2017,4,1)),"A legales", "")</f>
        <v/>
      </c>
    </row>
    <row r="9" spans="1:10" x14ac:dyDescent="0.2">
      <c r="A9" s="21">
        <v>2</v>
      </c>
      <c r="B9" s="19">
        <v>1</v>
      </c>
      <c r="C9" s="19" t="s">
        <v>90</v>
      </c>
      <c r="D9" s="83">
        <v>0.08</v>
      </c>
      <c r="E9" s="98">
        <f t="shared" ref="E9:E17" si="0">C$5*D9</f>
        <v>1960</v>
      </c>
      <c r="F9" s="99">
        <v>550</v>
      </c>
      <c r="G9" s="100">
        <f ca="1">TODAY()-500</f>
        <v>44842</v>
      </c>
      <c r="H9" s="101">
        <f t="shared" ref="H9:H17" ca="1" si="1">((DATEDIF(G9,$J$3,"D")*$H$5)*F9)+F9</f>
        <v>770</v>
      </c>
      <c r="I9" s="101">
        <f t="shared" ref="I9:I17" ca="1" si="2">SUM(F9,H9)</f>
        <v>1320</v>
      </c>
      <c r="J9" s="88" t="str">
        <f t="shared" ref="J9:J17" ca="1" si="3">IF(AND(H9&gt;1500,G9&lt;DATE(2017,4,1)),"A legales", "")</f>
        <v/>
      </c>
    </row>
    <row r="10" spans="1:10" x14ac:dyDescent="0.2">
      <c r="A10" s="21">
        <v>3</v>
      </c>
      <c r="B10" s="19">
        <v>1</v>
      </c>
      <c r="C10" s="19" t="s">
        <v>91</v>
      </c>
      <c r="D10" s="83">
        <v>0.15</v>
      </c>
      <c r="E10" s="98">
        <f t="shared" si="0"/>
        <v>3675</v>
      </c>
      <c r="F10" s="99">
        <v>1300</v>
      </c>
      <c r="G10" s="100">
        <f ca="1">TODAY()-925</f>
        <v>44417</v>
      </c>
      <c r="H10" s="101">
        <f t="shared" ca="1" si="1"/>
        <v>2262</v>
      </c>
      <c r="I10" s="101">
        <f t="shared" ca="1" si="2"/>
        <v>3562</v>
      </c>
      <c r="J10" s="88" t="str">
        <f t="shared" ca="1" si="3"/>
        <v/>
      </c>
    </row>
    <row r="11" spans="1:10" x14ac:dyDescent="0.2">
      <c r="A11" s="21">
        <v>4</v>
      </c>
      <c r="B11" s="19">
        <v>2</v>
      </c>
      <c r="C11" s="19" t="s">
        <v>89</v>
      </c>
      <c r="D11" s="83">
        <v>0.1</v>
      </c>
      <c r="E11" s="98">
        <f t="shared" si="0"/>
        <v>2450</v>
      </c>
      <c r="F11" s="99"/>
      <c r="G11" s="100"/>
      <c r="H11" s="101">
        <f t="shared" ca="1" si="1"/>
        <v>0</v>
      </c>
      <c r="I11" s="101">
        <v>2450</v>
      </c>
      <c r="J11" s="88" t="str">
        <f t="shared" ca="1" si="3"/>
        <v/>
      </c>
    </row>
    <row r="12" spans="1:10" x14ac:dyDescent="0.2">
      <c r="A12" s="21">
        <v>5</v>
      </c>
      <c r="B12" s="19">
        <v>2</v>
      </c>
      <c r="C12" s="19" t="s">
        <v>90</v>
      </c>
      <c r="D12" s="83">
        <v>0.1</v>
      </c>
      <c r="E12" s="98">
        <f t="shared" si="0"/>
        <v>2450</v>
      </c>
      <c r="F12" s="99"/>
      <c r="G12" s="100"/>
      <c r="H12" s="101">
        <f t="shared" ca="1" si="1"/>
        <v>0</v>
      </c>
      <c r="I12" s="101">
        <v>2450</v>
      </c>
      <c r="J12" s="88" t="str">
        <f t="shared" ca="1" si="3"/>
        <v/>
      </c>
    </row>
    <row r="13" spans="1:10" x14ac:dyDescent="0.2">
      <c r="A13" s="21">
        <v>6</v>
      </c>
      <c r="B13" s="19">
        <v>2</v>
      </c>
      <c r="C13" s="19" t="s">
        <v>91</v>
      </c>
      <c r="D13" s="83">
        <v>0.09</v>
      </c>
      <c r="E13" s="98">
        <f t="shared" si="0"/>
        <v>2205</v>
      </c>
      <c r="F13" s="99">
        <v>2350</v>
      </c>
      <c r="G13" s="100">
        <f ca="1">TODAY()-128</f>
        <v>45214</v>
      </c>
      <c r="H13" s="101">
        <f t="shared" ca="1" si="1"/>
        <v>2590.64</v>
      </c>
      <c r="I13" s="101">
        <f t="shared" ca="1" si="2"/>
        <v>4940.6399999999994</v>
      </c>
      <c r="J13" s="88" t="str">
        <f t="shared" ca="1" si="3"/>
        <v/>
      </c>
    </row>
    <row r="14" spans="1:10" x14ac:dyDescent="0.2">
      <c r="A14" s="21">
        <v>7</v>
      </c>
      <c r="B14" s="19">
        <v>3</v>
      </c>
      <c r="C14" s="19" t="s">
        <v>89</v>
      </c>
      <c r="D14" s="83">
        <v>0.12</v>
      </c>
      <c r="E14" s="98">
        <f t="shared" si="0"/>
        <v>2940</v>
      </c>
      <c r="F14" s="99">
        <v>2750</v>
      </c>
      <c r="G14" s="100">
        <f ca="1">TODAY()-1925</f>
        <v>43417</v>
      </c>
      <c r="H14" s="101">
        <f t="shared" ca="1" si="1"/>
        <v>6985</v>
      </c>
      <c r="I14" s="101">
        <f t="shared" ca="1" si="2"/>
        <v>9735</v>
      </c>
      <c r="J14" s="88" t="str">
        <f t="shared" ca="1" si="3"/>
        <v/>
      </c>
    </row>
    <row r="15" spans="1:10" x14ac:dyDescent="0.2">
      <c r="A15" s="21">
        <v>8</v>
      </c>
      <c r="B15" s="19">
        <v>3</v>
      </c>
      <c r="C15" s="19" t="s">
        <v>90</v>
      </c>
      <c r="D15" s="83">
        <v>0.09</v>
      </c>
      <c r="E15" s="98">
        <f t="shared" si="0"/>
        <v>2205</v>
      </c>
      <c r="F15" s="99"/>
      <c r="G15" s="100"/>
      <c r="H15" s="101">
        <f t="shared" ca="1" si="1"/>
        <v>0</v>
      </c>
      <c r="I15" s="101">
        <v>2205</v>
      </c>
      <c r="J15" s="88" t="str">
        <f t="shared" ca="1" si="3"/>
        <v/>
      </c>
    </row>
    <row r="16" spans="1:10" x14ac:dyDescent="0.2">
      <c r="A16" s="21">
        <v>9</v>
      </c>
      <c r="B16" s="19">
        <v>3</v>
      </c>
      <c r="C16" s="19" t="s">
        <v>91</v>
      </c>
      <c r="D16" s="83">
        <v>0.12</v>
      </c>
      <c r="E16" s="98">
        <f t="shared" si="0"/>
        <v>2940</v>
      </c>
      <c r="F16" s="99"/>
      <c r="G16" s="100"/>
      <c r="H16" s="101">
        <f t="shared" ca="1" si="1"/>
        <v>0</v>
      </c>
      <c r="I16" s="101">
        <v>2940</v>
      </c>
      <c r="J16" s="88" t="str">
        <f t="shared" ca="1" si="3"/>
        <v/>
      </c>
    </row>
    <row r="17" spans="1:10" x14ac:dyDescent="0.2">
      <c r="A17" s="21">
        <v>10</v>
      </c>
      <c r="B17" s="19">
        <v>4</v>
      </c>
      <c r="C17" s="19" t="s">
        <v>89</v>
      </c>
      <c r="D17" s="83">
        <v>7.0000000000000007E-2</v>
      </c>
      <c r="E17" s="98">
        <f t="shared" si="0"/>
        <v>1715.0000000000002</v>
      </c>
      <c r="F17" s="99">
        <v>3200</v>
      </c>
      <c r="G17" s="100">
        <f t="shared" ref="G17" ca="1" si="4">TODAY()-1925</f>
        <v>43417</v>
      </c>
      <c r="H17" s="101">
        <f t="shared" ca="1" si="1"/>
        <v>8128</v>
      </c>
      <c r="I17" s="101">
        <f t="shared" ca="1" si="2"/>
        <v>11328</v>
      </c>
      <c r="J17" s="88" t="str">
        <f t="shared" ca="1" si="3"/>
        <v/>
      </c>
    </row>
    <row r="18" spans="1:10" ht="13.5" thickBot="1" x14ac:dyDescent="0.25">
      <c r="A18" s="22" t="s">
        <v>92</v>
      </c>
      <c r="B18" s="23"/>
      <c r="C18" s="23"/>
      <c r="D18" s="102">
        <f>SUM(D8:D17)</f>
        <v>1</v>
      </c>
      <c r="E18" s="103">
        <f>SUM(E8:E17)</f>
        <v>24500</v>
      </c>
      <c r="F18" s="103">
        <f>SUM(F8:F17)</f>
        <v>11800</v>
      </c>
      <c r="G18" s="89"/>
      <c r="H18" s="103">
        <f ca="1">SUM(H8:H17)</f>
        <v>24629.64</v>
      </c>
      <c r="I18" s="103">
        <f ca="1">SUM(I8:I17)</f>
        <v>46474.64</v>
      </c>
      <c r="J18" s="90"/>
    </row>
    <row r="20" spans="1:10" ht="13.5" thickBot="1" x14ac:dyDescent="0.25">
      <c r="D20" s="2"/>
    </row>
    <row r="21" spans="1:10" x14ac:dyDescent="0.2">
      <c r="A21" s="91" t="s">
        <v>93</v>
      </c>
      <c r="B21" s="92"/>
      <c r="C21" s="92"/>
      <c r="D21" s="92"/>
      <c r="E21" s="92"/>
      <c r="F21" s="104">
        <f>COUNT(F8:F17)</f>
        <v>6</v>
      </c>
    </row>
    <row r="22" spans="1:10" x14ac:dyDescent="0.2">
      <c r="A22" s="93" t="s">
        <v>94</v>
      </c>
      <c r="B22" s="53"/>
      <c r="C22" s="53"/>
      <c r="D22" s="53"/>
      <c r="E22" s="53"/>
      <c r="F22" s="106">
        <f>SUMIF(F8:F17, "&gt;1500")</f>
        <v>9950</v>
      </c>
    </row>
    <row r="23" spans="1:10" x14ac:dyDescent="0.2">
      <c r="A23" s="93" t="s">
        <v>95</v>
      </c>
      <c r="B23" s="53"/>
      <c r="C23" s="53"/>
      <c r="D23" s="53"/>
      <c r="E23" s="53"/>
      <c r="F23" s="107">
        <f ca="1">MIN(G8:G17)</f>
        <v>43417</v>
      </c>
    </row>
    <row r="24" spans="1:10" x14ac:dyDescent="0.2">
      <c r="A24" s="93" t="s">
        <v>96</v>
      </c>
      <c r="B24" s="53"/>
      <c r="C24" s="53"/>
      <c r="D24" s="53"/>
      <c r="E24" s="53"/>
      <c r="F24" s="108">
        <f ca="1">MAX(H8:H17)</f>
        <v>8128</v>
      </c>
    </row>
    <row r="25" spans="1:10" x14ac:dyDescent="0.2">
      <c r="A25" s="93" t="s">
        <v>98</v>
      </c>
      <c r="B25" s="53"/>
      <c r="C25" s="53"/>
      <c r="D25" s="53"/>
      <c r="E25" s="53"/>
      <c r="F25" s="88">
        <f>COUNTIF(F8:F17,"&gt;2000")</f>
        <v>3</v>
      </c>
    </row>
    <row r="26" spans="1:10" ht="13.5" thickBot="1" x14ac:dyDescent="0.25">
      <c r="A26" s="94" t="s">
        <v>97</v>
      </c>
      <c r="B26" s="95"/>
      <c r="C26" s="95"/>
      <c r="D26" s="95"/>
      <c r="E26" s="95"/>
      <c r="F26" s="105">
        <f ca="1">COUNTIF(J8:J17,"A legales")</f>
        <v>0</v>
      </c>
    </row>
    <row r="100" spans="1:1" x14ac:dyDescent="0.2">
      <c r="A100" s="6">
        <v>41730</v>
      </c>
    </row>
    <row r="65536" spans="256:256" x14ac:dyDescent="0.2">
      <c r="IV65536" s="3" t="s">
        <v>26</v>
      </c>
    </row>
  </sheetData>
  <mergeCells count="1">
    <mergeCell ref="A1:J1"/>
  </mergeCells>
  <phoneticPr fontId="3" type="noConversion"/>
  <pageMargins left="0.75" right="0.75" top="1" bottom="1" header="0" footer="0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Datos personales</vt:lpstr>
      <vt:lpstr>Ejercicio 1</vt:lpstr>
      <vt:lpstr>Ejercicio 2</vt:lpstr>
      <vt:lpstr>Ejercicio 3</vt:lpstr>
      <vt:lpstr>Ejercicio 4</vt:lpstr>
      <vt:lpstr>A1.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CHANIVET DAN ELOY</dc:creator>
  <cp:keywords/>
  <dc:description/>
  <cp:lastModifiedBy>CHANIVET DAN ELOY</cp:lastModifiedBy>
  <cp:revision>1</cp:revision>
  <dcterms:created xsi:type="dcterms:W3CDTF">2023-09-16T23:19:43Z</dcterms:created>
  <dcterms:modified xsi:type="dcterms:W3CDTF">2024-02-20T23:00:55Z</dcterms:modified>
  <cp:category/>
  <cp:contentStatus/>
</cp:coreProperties>
</file>