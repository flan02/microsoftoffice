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Usuario\Documents\VSCode Projects\microsoftoffice\microsoftoffice\trabajos practicos\excel\"/>
    </mc:Choice>
  </mc:AlternateContent>
  <xr:revisionPtr revIDLastSave="0" documentId="13_ncr:1_{36F51780-5836-4412-A8DE-E0FEA8E83CFC}" xr6:coauthVersionLast="47" xr6:coauthVersionMax="47" xr10:uidLastSave="{00000000-0000-0000-0000-000000000000}"/>
  <workbookProtection workbookAlgorithmName="SHA-512" workbookHashValue="UAtEekhtoMcm4nZN5PnibbltvRzDTTe2V5oNB0jhKuk86jdZS9RavgVM4y8ZRIk7Pwm19dkaknK9VO/VWEg9zw==" workbookSaltValue="0/4TDnPFysAvAPLfPWsZ0A==" workbookSpinCount="100000" lockStructure="1"/>
  <bookViews>
    <workbookView xWindow="390" yWindow="390" windowWidth="16395" windowHeight="15495" tabRatio="702" activeTab="1" xr2:uid="{00000000-000D-0000-FFFF-FFFF00000000}"/>
  </bookViews>
  <sheets>
    <sheet name="Datos personales" sheetId="8" r:id="rId1"/>
    <sheet name="Ejercicio 1" sheetId="2" r:id="rId2"/>
    <sheet name="Ejercicio 2" sheetId="4" r:id="rId3"/>
    <sheet name="Ejercicio 3" sheetId="5" r:id="rId4"/>
    <sheet name="Ejercicio 4" sheetId="7" r:id="rId5"/>
  </sheets>
  <definedNames>
    <definedName name="A1.">'Datos personales'!$RAA$1892</definedName>
    <definedName name="aranceles">#REF!</definedName>
    <definedName name="inscripciones">#REF!</definedName>
    <definedName name="IVA">#REF!</definedName>
    <definedName name="materias">#REF!</definedName>
    <definedName name="Productos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2" l="1"/>
  <c r="F14" i="2"/>
  <c r="E14" i="2"/>
  <c r="D14" i="2"/>
  <c r="C14" i="2"/>
  <c r="F13" i="2"/>
  <c r="F12" i="2"/>
  <c r="F11" i="2"/>
  <c r="F10" i="2"/>
  <c r="F9" i="2"/>
  <c r="F8" i="2"/>
  <c r="F7" i="2"/>
  <c r="C4" i="2"/>
  <c r="C3" i="2"/>
  <c r="G17" i="7"/>
  <c r="G8" i="7"/>
  <c r="G14" i="7"/>
  <c r="G13" i="7"/>
  <c r="G10" i="7"/>
  <c r="G9" i="7"/>
  <c r="RAH1901" i="8"/>
  <c r="RAG1903" i="8"/>
  <c r="RAH1904" i="8"/>
  <c r="RAI1904" i="8"/>
</calcChain>
</file>

<file path=xl/sharedStrings.xml><?xml version="1.0" encoding="utf-8"?>
<sst xmlns="http://schemas.openxmlformats.org/spreadsheetml/2006/main" count="288" uniqueCount="131">
  <si>
    <t>LIQUIDACION DE COMISIONES DE LOS VENDEDORES</t>
  </si>
  <si>
    <t>Fecha actual</t>
  </si>
  <si>
    <t>a)</t>
  </si>
  <si>
    <t>Hora actual</t>
  </si>
  <si>
    <t>Comisión ventas:</t>
  </si>
  <si>
    <t>Nro. de legajo</t>
  </si>
  <si>
    <t>Apellido y nombre</t>
  </si>
  <si>
    <t>Ventas de Mayo</t>
  </si>
  <si>
    <t>Ventas de Junio</t>
  </si>
  <si>
    <t>Ventas de Julio</t>
  </si>
  <si>
    <t>Total del vendedor</t>
  </si>
  <si>
    <t>Importe comisión</t>
  </si>
  <si>
    <t>Gómez Claudia</t>
  </si>
  <si>
    <t>b)</t>
  </si>
  <si>
    <t>e)</t>
  </si>
  <si>
    <t>Perez Alberto</t>
  </si>
  <si>
    <t>Martínez Leonardo</t>
  </si>
  <si>
    <t>Juan Mefisto</t>
  </si>
  <si>
    <t>Gasparini Otelo</t>
  </si>
  <si>
    <t>Alvarez Hugo</t>
  </si>
  <si>
    <t>Rodriguez Ana</t>
  </si>
  <si>
    <t>Totales</t>
  </si>
  <si>
    <t>c)</t>
  </si>
  <si>
    <t>d)</t>
  </si>
  <si>
    <t>f)</t>
  </si>
  <si>
    <t>PROMEDIO DE LAS COMISIONES PAGADAS</t>
  </si>
  <si>
    <t>g)</t>
  </si>
  <si>
    <t>PROMEDIO DE LAS VENTAS EFECTUADAS</t>
  </si>
  <si>
    <t>h)</t>
  </si>
  <si>
    <t>VENTA MAXIMA DEL TRIMESTRE</t>
  </si>
  <si>
    <t>i)</t>
  </si>
  <si>
    <t>VENTA MINIMA DEL TRIMESTRE</t>
  </si>
  <si>
    <t>j)</t>
  </si>
  <si>
    <t>MAXIMA COMISION PAGADA</t>
  </si>
  <si>
    <t>k)</t>
  </si>
  <si>
    <t>MINIMA COMISION PAGADA</t>
  </si>
  <si>
    <t>l)</t>
  </si>
  <si>
    <t>CANTIDAD DE VENDEDORES</t>
  </si>
  <si>
    <t>m)</t>
  </si>
  <si>
    <t>6-2</t>
  </si>
  <si>
    <t>CONTROL DE EXISTENCIAS Y VENCIMIENTOS DE ARTÍCULOS AL DIA 31/12/2017</t>
  </si>
  <si>
    <t>Id. Artículo</t>
  </si>
  <si>
    <t>Orígen</t>
  </si>
  <si>
    <t>Fecha de vencimiento</t>
  </si>
  <si>
    <t>Alerta de vencimiento</t>
  </si>
  <si>
    <t>Stock actual</t>
  </si>
  <si>
    <t>Stock mínimo</t>
  </si>
  <si>
    <t>Alerta de stock bajo</t>
  </si>
  <si>
    <t>Alerta de stock alto</t>
  </si>
  <si>
    <t>Brasil</t>
  </si>
  <si>
    <t>Uruguay</t>
  </si>
  <si>
    <t>China</t>
  </si>
  <si>
    <t>Rep. de Yemen</t>
  </si>
  <si>
    <t>Argentina</t>
  </si>
  <si>
    <t>España</t>
  </si>
  <si>
    <t>Paraguay</t>
  </si>
  <si>
    <t>Corea del Sur</t>
  </si>
  <si>
    <t>CANTIDAD DE ARTICULOS VENCIDOS</t>
  </si>
  <si>
    <t>CANTIDAD DE ARTICULOS A REPONER</t>
  </si>
  <si>
    <t>STOCK DE UNIDADES DE ARTICULOS ARGENTINOS</t>
  </si>
  <si>
    <t>STOCK DE UNIDADES DE ARTICULOS OFERTADOS</t>
  </si>
  <si>
    <t>CANTIDAD DE ARTICULOS SIN CÓDIGO</t>
  </si>
  <si>
    <t>Inmobiliaria del Oeste.</t>
  </si>
  <si>
    <t>Unidad</t>
  </si>
  <si>
    <r>
      <t>Superficie 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</si>
  <si>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Valor Base</t>
  </si>
  <si>
    <t>Boleto de Compra</t>
  </si>
  <si>
    <t>Adjudicación</t>
  </si>
  <si>
    <t>Legalización</t>
  </si>
  <si>
    <t>Escribanía</t>
  </si>
  <si>
    <t>Valor Final</t>
  </si>
  <si>
    <t>Contado</t>
  </si>
  <si>
    <t>Financiado</t>
  </si>
  <si>
    <t>PB A</t>
  </si>
  <si>
    <t>PB B</t>
  </si>
  <si>
    <t>1 A</t>
  </si>
  <si>
    <t>1 B</t>
  </si>
  <si>
    <t>2 A</t>
  </si>
  <si>
    <t>2 B</t>
  </si>
  <si>
    <r>
      <t>Valor del m</t>
    </r>
    <r>
      <rPr>
        <vertAlign val="superscript"/>
        <sz val="10"/>
        <rFont val="Arial"/>
        <family val="2"/>
      </rPr>
      <t>2</t>
    </r>
  </si>
  <si>
    <t>Porcentaje Boleto</t>
  </si>
  <si>
    <t>Porcentaje Adjudicación</t>
  </si>
  <si>
    <t>Porcentaje Legalización</t>
  </si>
  <si>
    <t>Porcentaje Escribanía</t>
  </si>
  <si>
    <t>Superficie promedio:</t>
  </si>
  <si>
    <t>Escribanía promedio:</t>
  </si>
  <si>
    <t>Inmobiliaria del Oeste</t>
  </si>
  <si>
    <t>Consorcio:</t>
  </si>
  <si>
    <t>Arenales 1555-San Justo</t>
  </si>
  <si>
    <t>Pcia. Bs. Aires</t>
  </si>
  <si>
    <t>Gastos del mes:</t>
  </si>
  <si>
    <t>Interes diario por atraso:</t>
  </si>
  <si>
    <t>UF</t>
  </si>
  <si>
    <t>Piso</t>
  </si>
  <si>
    <t>Dto.</t>
  </si>
  <si>
    <t>Porcentaje</t>
  </si>
  <si>
    <t>Expensas actuales</t>
  </si>
  <si>
    <t>Expensas anteriores adeudadas</t>
  </si>
  <si>
    <t>Vencimiento expensas adeudadas</t>
  </si>
  <si>
    <t>Expensas adeudadas actualizadas</t>
  </si>
  <si>
    <t>Total a pagar</t>
  </si>
  <si>
    <t>Observaciones</t>
  </si>
  <si>
    <t>A</t>
  </si>
  <si>
    <t>( a )</t>
  </si>
  <si>
    <t>( b )</t>
  </si>
  <si>
    <t>( c )</t>
  </si>
  <si>
    <t>( d )</t>
  </si>
  <si>
    <t>B</t>
  </si>
  <si>
    <t>C</t>
  </si>
  <si>
    <t>TOTALES GENERALES:</t>
  </si>
  <si>
    <t>( e )</t>
  </si>
  <si>
    <t>Cantidad de expensas anteriores adeudadas:</t>
  </si>
  <si>
    <t>(f)</t>
  </si>
  <si>
    <t>Suma de expensas anteriores superiores a $1500:</t>
  </si>
  <si>
    <t>(g)</t>
  </si>
  <si>
    <t>Fecha de deuda de expensas mas antigua:</t>
  </si>
  <si>
    <t>(h)</t>
  </si>
  <si>
    <t>Mayor importe expensa actualizada:</t>
  </si>
  <si>
    <t>(i)</t>
  </si>
  <si>
    <t>Cantidad deudores a legales:</t>
  </si>
  <si>
    <t>(j)</t>
  </si>
  <si>
    <t>(b)</t>
  </si>
  <si>
    <t>(k)</t>
  </si>
  <si>
    <t>Cantidad propietarios con expensas anteriores adeudadas &gt; a $ 2000:</t>
  </si>
  <si>
    <t>Apellido y Nombre, Curso y Docente/s</t>
  </si>
  <si>
    <t>Ejemplo</t>
  </si>
  <si>
    <t>Juan Cruz Mamerto Garcia, 912-36, Armando Balcarce</t>
  </si>
  <si>
    <t>Empezo a trabajar con el archivo el</t>
  </si>
  <si>
    <t>Cambios de autor del archivo</t>
  </si>
  <si>
    <t>Dato Anterior</t>
  </si>
  <si>
    <t>3.5%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</si>
</sst>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&quot;$&quot;\ * #,##0.00_ ;_ &quot;$&quot;\ * \-#,##0.00_ ;_ &quot;$&quot;\ * &quot;-&quot;??_ ;_ @_ "/>
    <numFmt numFmtId="165" formatCode="mmm\-yyyy"/>
    <numFmt numFmtId="166" formatCode="_-* #,##0.00\ [$€]_-;\-* #,##0.00\ [$€]_-;_-* &quot;-&quot;??\ [$€]_-;_-@_-"/>
    <numFmt numFmtId="167" formatCode="0.0%"/>
    <numFmt numFmtId="168" formatCode="dd/mm/yyyy\ h:mm:ss"/>
  </numFmts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6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49" fontId="0" fillId="0" borderId="0" xfId="0" applyNumberFormat="1"/>
    <xf numFmtId="9" fontId="0" fillId="0" borderId="0" xfId="0" applyNumberFormat="1"/>
    <xf numFmtId="165" fontId="0" fillId="0" borderId="0" xfId="0" applyNumberFormat="1"/>
    <xf numFmtId="10" fontId="0" fillId="0" borderId="0" xfId="0" applyNumberFormat="1"/>
    <xf numFmtId="16" fontId="0" fillId="0" borderId="0" xfId="0" quotePrefix="1" applyNumberFormat="1"/>
    <xf numFmtId="0" fontId="2" fillId="0" borderId="0" xfId="0" applyFont="1"/>
    <xf numFmtId="167" fontId="0" fillId="0" borderId="0" xfId="0" applyNumberFormat="1"/>
    <xf numFmtId="164" fontId="0" fillId="0" borderId="0" xfId="2" applyFont="1"/>
    <xf numFmtId="17" fontId="6" fillId="0" borderId="0" xfId="0" applyNumberFormat="1" applyFont="1"/>
    <xf numFmtId="14" fontId="6" fillId="0" borderId="0" xfId="0" applyNumberFormat="1" applyFont="1"/>
    <xf numFmtId="0" fontId="2" fillId="0" borderId="0" xfId="0" applyFont="1" applyAlignment="1">
      <alignment horizontal="left"/>
    </xf>
    <xf numFmtId="49" fontId="2" fillId="0" borderId="0" xfId="0" applyNumberFormat="1" applyFont="1"/>
    <xf numFmtId="0" fontId="0" fillId="0" borderId="0" xfId="0" applyAlignment="1">
      <alignment horizontal="right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3"/>
    <xf numFmtId="0" fontId="1" fillId="3" borderId="0" xfId="3" applyFill="1" applyAlignment="1">
      <alignment horizontal="center" vertical="center"/>
    </xf>
    <xf numFmtId="0" fontId="7" fillId="0" borderId="0" xfId="3" applyFont="1"/>
    <xf numFmtId="0" fontId="1" fillId="0" borderId="0" xfId="3" applyAlignment="1">
      <alignment horizontal="center" vertical="center"/>
    </xf>
    <xf numFmtId="168" fontId="9" fillId="0" borderId="0" xfId="3" applyNumberFormat="1" applyFont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 vertical="center"/>
      <protection hidden="1"/>
    </xf>
    <xf numFmtId="14" fontId="9" fillId="0" borderId="0" xfId="3" applyNumberFormat="1" applyFont="1" applyAlignment="1" applyProtection="1">
      <alignment horizontal="center" vertical="center"/>
      <protection hidden="1"/>
    </xf>
    <xf numFmtId="0" fontId="9" fillId="0" borderId="0" xfId="3" applyFont="1" applyAlignment="1" applyProtection="1">
      <alignment horizontal="center" vertical="center"/>
      <protection hidden="1"/>
    </xf>
    <xf numFmtId="0" fontId="8" fillId="2" borderId="1" xfId="3" applyFont="1" applyFill="1" applyBorder="1" applyAlignment="1">
      <alignment horizontal="center"/>
    </xf>
    <xf numFmtId="0" fontId="8" fillId="2" borderId="2" xfId="3" applyFont="1" applyFill="1" applyBorder="1" applyAlignment="1">
      <alignment horizontal="center"/>
    </xf>
    <xf numFmtId="0" fontId="8" fillId="2" borderId="3" xfId="3" applyFont="1" applyFill="1" applyBorder="1" applyAlignment="1">
      <alignment horizontal="center"/>
    </xf>
    <xf numFmtId="0" fontId="8" fillId="4" borderId="1" xfId="3" applyFont="1" applyFill="1" applyBorder="1" applyAlignment="1" applyProtection="1">
      <alignment horizontal="center" vertical="center" wrapText="1"/>
      <protection locked="0"/>
    </xf>
    <xf numFmtId="0" fontId="8" fillId="4" borderId="2" xfId="3" applyFont="1" applyFill="1" applyBorder="1" applyAlignment="1" applyProtection="1">
      <alignment horizontal="center" vertical="center" wrapText="1"/>
      <protection locked="0"/>
    </xf>
    <xf numFmtId="0" fontId="8" fillId="4" borderId="3" xfId="3" applyFont="1" applyFill="1" applyBorder="1" applyAlignment="1" applyProtection="1">
      <alignment horizontal="center" vertical="center" wrapText="1"/>
      <protection locked="0"/>
    </xf>
    <xf numFmtId="0" fontId="1" fillId="0" borderId="0" xfId="3" applyAlignment="1" applyProtection="1">
      <alignment horizontal="center" vertical="top" wrapText="1"/>
      <protection hidden="1"/>
    </xf>
    <xf numFmtId="16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</cellXfs>
  <cellStyles count="4">
    <cellStyle name="Euro" xfId="1" xr:uid="{00000000-0005-0000-0000-000000000000}"/>
    <cellStyle name="Moneda" xfId="2" builtinId="4"/>
    <cellStyle name="Normal" xfId="0" builtinId="0"/>
    <cellStyle name="Normal 2" xfId="3" xr:uid="{B4B7D955-8B43-456D-A26E-49DAC97AEF0E}"/>
  </cellStyles>
  <dxfs count="4">
    <dxf>
      <font>
        <color theme="0"/>
      </font>
    </dxf>
    <dxf>
      <font>
        <b/>
        <i val="0"/>
        <color theme="1"/>
      </font>
    </dxf>
    <dxf>
      <font>
        <b/>
        <i val="0"/>
        <color theme="0"/>
      </font>
    </dxf>
    <dxf>
      <font>
        <b/>
        <i val="0"/>
        <color theme="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8CCED-41D6-40ED-9F68-0EE25E8793C1}">
  <dimension ref="A1:RAI1913"/>
  <sheetViews>
    <sheetView zoomScale="175" zoomScaleNormal="175" workbookViewId="0">
      <selection activeCell="A3" sqref="A3:D6"/>
    </sheetView>
  </sheetViews>
  <sheetFormatPr baseColWidth="10" defaultRowHeight="15" x14ac:dyDescent="0.25"/>
  <cols>
    <col min="1" max="1" width="15.7109375" style="18" bestFit="1" customWidth="1"/>
    <col min="2" max="235" width="15.7109375" style="18" customWidth="1"/>
    <col min="236" max="237" width="11.5703125" style="18"/>
    <col min="238" max="238" width="67.42578125" style="18" bestFit="1" customWidth="1"/>
    <col min="239" max="239" width="12.140625" style="18" bestFit="1" customWidth="1"/>
    <col min="240" max="12201" width="11.5703125" style="18"/>
    <col min="12202" max="12202" width="39.5703125" style="18" customWidth="1"/>
    <col min="12203" max="12203" width="13" style="18" customWidth="1"/>
    <col min="12204" max="16384" width="11.5703125" style="18"/>
  </cols>
  <sheetData>
    <row r="1" spans="1:4" x14ac:dyDescent="0.25">
      <c r="A1" s="26" t="s">
        <v>124</v>
      </c>
      <c r="B1" s="27"/>
      <c r="C1" s="27"/>
      <c r="D1" s="28"/>
    </row>
    <row r="2" spans="1:4" x14ac:dyDescent="0.25">
      <c r="A2" s="19" t="s">
        <v>125</v>
      </c>
      <c r="B2" s="26" t="s">
        <v>126</v>
      </c>
      <c r="C2" s="27"/>
      <c r="D2" s="28"/>
    </row>
    <row r="3" spans="1:4" x14ac:dyDescent="0.25">
      <c r="A3" s="29"/>
      <c r="B3" s="30"/>
      <c r="C3" s="30"/>
      <c r="D3" s="31"/>
    </row>
    <row r="4" spans="1:4" x14ac:dyDescent="0.25">
      <c r="A4" s="29"/>
      <c r="B4" s="30"/>
      <c r="C4" s="30"/>
      <c r="D4" s="31"/>
    </row>
    <row r="5" spans="1:4" x14ac:dyDescent="0.25">
      <c r="A5" s="29"/>
      <c r="B5" s="30"/>
      <c r="C5" s="30"/>
      <c r="D5" s="31"/>
    </row>
    <row r="6" spans="1:4" x14ac:dyDescent="0.25">
      <c r="A6" s="29"/>
      <c r="B6" s="30"/>
      <c r="C6" s="30"/>
      <c r="D6" s="31"/>
    </row>
    <row r="190" spans="237:239" x14ac:dyDescent="0.25">
      <c r="IC190" s="20"/>
      <c r="IE190" s="20"/>
    </row>
    <row r="192" spans="237:239" ht="14.45" customHeight="1" x14ac:dyDescent="0.25"/>
    <row r="202" spans="238:238" x14ac:dyDescent="0.25">
      <c r="ID202" s="21"/>
    </row>
    <row r="1900" spans="12201:12203" x14ac:dyDescent="0.25">
      <c r="RAH1900" s="22" t="s">
        <v>127</v>
      </c>
    </row>
    <row r="1901" spans="12201:12203" x14ac:dyDescent="0.25">
      <c r="RAH1901" s="23" t="str">
        <f ca="1">IF(RAH1901=0,IF('Ejercicio 1'!C3="a)",0,TEXT(NOW(),"dd/mm/aaaa")&amp;"  a las  "&amp;TEXT(NOW(),"hh:mm:ss")),RAH1901)</f>
        <v>15/02/Thursday  a las  22:12:58</v>
      </c>
    </row>
    <row r="1903" spans="12201:12203" x14ac:dyDescent="0.25">
      <c r="RAG1903" s="24">
        <f ca="1">IF(A3=RAI1904,RAG1903,NOW())</f>
        <v>45158.548069444441</v>
      </c>
      <c r="RAH1903" s="22" t="s">
        <v>128</v>
      </c>
      <c r="RAI1903" s="25" t="s">
        <v>129</v>
      </c>
    </row>
    <row r="1904" spans="12201:12203" x14ac:dyDescent="0.25">
      <c r="RAG1904" s="25"/>
      <c r="RAH1904" s="32">
        <f ca="1">IF(RAG1903=0,"-",IF(A3=RAI1904,RAH1904,RAH1904&amp;"👉  "&amp;TEXT(RAG1903,"dd/mm/aaaa hh:mm:ss")&amp;".-- "&amp;" --&gt;  "&amp;"("&amp;A3&amp;")"))</f>
        <v>0</v>
      </c>
      <c r="RAI1904" s="25">
        <f ca="1">IF(A3=RAI1904,RAI1904,A3)</f>
        <v>0</v>
      </c>
    </row>
    <row r="1905" spans="12201:12203" x14ac:dyDescent="0.25">
      <c r="RAG1905" s="25"/>
      <c r="RAH1905" s="32"/>
      <c r="RAI1905" s="25"/>
    </row>
    <row r="1906" spans="12201:12203" x14ac:dyDescent="0.25">
      <c r="RAG1906" s="25"/>
      <c r="RAH1906" s="32"/>
      <c r="RAI1906" s="25"/>
    </row>
    <row r="1907" spans="12201:12203" x14ac:dyDescent="0.25">
      <c r="RAG1907" s="25"/>
      <c r="RAH1907" s="32"/>
      <c r="RAI1907" s="25"/>
    </row>
    <row r="1908" spans="12201:12203" x14ac:dyDescent="0.25">
      <c r="RAG1908" s="25"/>
      <c r="RAH1908" s="32"/>
      <c r="RAI1908" s="25"/>
    </row>
    <row r="1909" spans="12201:12203" x14ac:dyDescent="0.25">
      <c r="RAG1909" s="25"/>
      <c r="RAH1909" s="32"/>
      <c r="RAI1909" s="25"/>
    </row>
    <row r="1910" spans="12201:12203" x14ac:dyDescent="0.25">
      <c r="RAG1910" s="25"/>
      <c r="RAH1910" s="32"/>
      <c r="RAI1910" s="25"/>
    </row>
    <row r="1911" spans="12201:12203" x14ac:dyDescent="0.25">
      <c r="RAG1911" s="25"/>
      <c r="RAH1911" s="32"/>
      <c r="RAI1911" s="25"/>
    </row>
    <row r="1912" spans="12201:12203" x14ac:dyDescent="0.25">
      <c r="RAG1912" s="25"/>
      <c r="RAH1912" s="32"/>
      <c r="RAI1912" s="25"/>
    </row>
    <row r="1913" spans="12201:12203" x14ac:dyDescent="0.25">
      <c r="RAG1913" s="25"/>
      <c r="RAH1913" s="32"/>
      <c r="RAI1913" s="25"/>
    </row>
  </sheetData>
  <sheetProtection algorithmName="SHA-512" hashValue="Z2n6SEA9+tOO9/YNikJhR9uRONmO3Fl+R8X7KHuyPAqyCB1tIvR8Nn1gHsO2ALvGhScgWVr/J8GHJXYN4pcKbA==" saltValue="D8Tgc7Os7ULotFvKorXVLw==" spinCount="100000" sheet="1" selectLockedCells="1"/>
  <mergeCells count="4">
    <mergeCell ref="A1:D1"/>
    <mergeCell ref="B2:D2"/>
    <mergeCell ref="A3:D6"/>
    <mergeCell ref="RAH1904:RAH1913"/>
  </mergeCells>
  <conditionalFormatting sqref="RAH1900">
    <cfRule type="expression" dxfId="3" priority="2">
      <formula>$RAH$1901&lt;&gt;0</formula>
    </cfRule>
  </conditionalFormatting>
  <conditionalFormatting sqref="RAH1901">
    <cfRule type="cellIs" dxfId="2" priority="3" operator="equal">
      <formula>0</formula>
    </cfRule>
  </conditionalFormatting>
  <conditionalFormatting sqref="RAH1903">
    <cfRule type="expression" dxfId="1" priority="1">
      <formula>$RAH$1904&lt;&gt;0</formula>
    </cfRule>
  </conditionalFormatting>
  <conditionalFormatting sqref="RAH1904:RAH1913">
    <cfRule type="cellIs" dxfId="0" priority="4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 tint="-0.249977111117893"/>
  </sheetPr>
  <dimension ref="A1:IV65536"/>
  <sheetViews>
    <sheetView tabSelected="1" workbookViewId="0">
      <selection activeCell="E26" sqref="E26"/>
    </sheetView>
  </sheetViews>
  <sheetFormatPr baseColWidth="10" defaultColWidth="9.140625" defaultRowHeight="12.75" x14ac:dyDescent="0.2"/>
  <cols>
    <col min="1" max="1" width="12.42578125" customWidth="1"/>
    <col min="2" max="2" width="18.140625" customWidth="1"/>
    <col min="3" max="3" width="14.5703125" bestFit="1" customWidth="1"/>
    <col min="4" max="4" width="14.28515625" bestFit="1" customWidth="1"/>
    <col min="5" max="5" width="13.7109375" bestFit="1" customWidth="1"/>
    <col min="6" max="6" width="15.42578125" customWidth="1"/>
  </cols>
  <sheetData>
    <row r="1" spans="1:7" x14ac:dyDescent="0.2">
      <c r="A1" t="s">
        <v>0</v>
      </c>
    </row>
    <row r="3" spans="1:7" x14ac:dyDescent="0.2">
      <c r="A3" t="s">
        <v>1</v>
      </c>
      <c r="C3" s="33">
        <f ca="1">NOW()</f>
        <v>45337.944544212965</v>
      </c>
    </row>
    <row r="4" spans="1:7" x14ac:dyDescent="0.2">
      <c r="A4" t="s">
        <v>3</v>
      </c>
      <c r="C4" s="34">
        <f ca="1">NOW()</f>
        <v>45337.944544212965</v>
      </c>
      <c r="F4" t="s">
        <v>4</v>
      </c>
      <c r="G4" s="15" t="s">
        <v>130</v>
      </c>
    </row>
    <row r="6" spans="1:7" x14ac:dyDescent="0.2">
      <c r="A6" t="s">
        <v>5</v>
      </c>
      <c r="B6" t="s">
        <v>6</v>
      </c>
      <c r="C6" t="s">
        <v>7</v>
      </c>
      <c r="D6" t="s">
        <v>8</v>
      </c>
      <c r="E6" t="s">
        <v>9</v>
      </c>
      <c r="F6" t="s">
        <v>10</v>
      </c>
      <c r="G6" t="s">
        <v>11</v>
      </c>
    </row>
    <row r="7" spans="1:7" x14ac:dyDescent="0.2">
      <c r="A7">
        <v>311</v>
      </c>
      <c r="B7" s="8" t="s">
        <v>12</v>
      </c>
      <c r="C7">
        <v>119550</v>
      </c>
      <c r="D7">
        <v>119000</v>
      </c>
      <c r="E7">
        <v>118500</v>
      </c>
      <c r="F7" s="1">
        <f>SUM(C7:E7)</f>
        <v>357050</v>
      </c>
      <c r="G7" s="1">
        <f>PRODUCT(F7*G4)</f>
        <v>12496.750000000002</v>
      </c>
    </row>
    <row r="8" spans="1:7" x14ac:dyDescent="0.2">
      <c r="A8">
        <v>1725</v>
      </c>
      <c r="B8" s="8" t="s">
        <v>15</v>
      </c>
      <c r="C8">
        <v>123450</v>
      </c>
      <c r="D8">
        <v>126500</v>
      </c>
      <c r="E8">
        <v>120000</v>
      </c>
      <c r="F8" s="1">
        <f t="shared" ref="F8:F13" si="0">SUM(C8:E8)</f>
        <v>369950</v>
      </c>
      <c r="G8" s="1"/>
    </row>
    <row r="9" spans="1:7" x14ac:dyDescent="0.2">
      <c r="A9">
        <v>1231</v>
      </c>
      <c r="B9" s="8" t="s">
        <v>16</v>
      </c>
      <c r="C9">
        <v>208050</v>
      </c>
      <c r="D9">
        <v>214000</v>
      </c>
      <c r="E9">
        <v>217000</v>
      </c>
      <c r="F9" s="1">
        <f t="shared" si="0"/>
        <v>639050</v>
      </c>
      <c r="G9" s="1"/>
    </row>
    <row r="10" spans="1:7" x14ac:dyDescent="0.2">
      <c r="A10">
        <v>666</v>
      </c>
      <c r="B10" s="8" t="s">
        <v>17</v>
      </c>
      <c r="C10">
        <v>125666</v>
      </c>
      <c r="D10">
        <v>132666</v>
      </c>
      <c r="E10">
        <v>125666</v>
      </c>
      <c r="F10" s="1">
        <f t="shared" si="0"/>
        <v>383998</v>
      </c>
      <c r="G10" s="1"/>
    </row>
    <row r="11" spans="1:7" x14ac:dyDescent="0.2">
      <c r="A11">
        <v>564</v>
      </c>
      <c r="B11" s="8" t="s">
        <v>18</v>
      </c>
      <c r="C11">
        <v>226450</v>
      </c>
      <c r="D11">
        <v>229000</v>
      </c>
      <c r="E11">
        <v>260000</v>
      </c>
      <c r="F11" s="1">
        <f t="shared" si="0"/>
        <v>715450</v>
      </c>
      <c r="G11" s="1"/>
    </row>
    <row r="12" spans="1:7" x14ac:dyDescent="0.2">
      <c r="A12">
        <v>2381</v>
      </c>
      <c r="B12" t="s">
        <v>19</v>
      </c>
      <c r="C12">
        <v>216850</v>
      </c>
      <c r="D12">
        <v>217800</v>
      </c>
      <c r="E12">
        <v>219900</v>
      </c>
      <c r="F12" s="1">
        <f t="shared" si="0"/>
        <v>654550</v>
      </c>
      <c r="G12" s="1"/>
    </row>
    <row r="13" spans="1:7" x14ac:dyDescent="0.2">
      <c r="A13">
        <v>2984</v>
      </c>
      <c r="B13" t="s">
        <v>20</v>
      </c>
      <c r="C13">
        <v>109950</v>
      </c>
      <c r="D13">
        <v>116500</v>
      </c>
      <c r="E13">
        <v>116600</v>
      </c>
      <c r="F13" s="1">
        <f t="shared" si="0"/>
        <v>343050</v>
      </c>
      <c r="G13" s="1"/>
    </row>
    <row r="14" spans="1:7" x14ac:dyDescent="0.2">
      <c r="A14" t="s">
        <v>21</v>
      </c>
      <c r="C14" s="15">
        <f>SUM(C7:C13)</f>
        <v>1129966</v>
      </c>
      <c r="D14" s="15">
        <f t="shared" ref="D14:E14" si="1">SUM(D7:D13)</f>
        <v>1155466</v>
      </c>
      <c r="E14" s="15">
        <f t="shared" si="1"/>
        <v>1177666</v>
      </c>
      <c r="F14" s="1">
        <f>SUM(C14:E14)</f>
        <v>3463098</v>
      </c>
      <c r="G14" s="1" t="s">
        <v>24</v>
      </c>
    </row>
    <row r="16" spans="1:7" x14ac:dyDescent="0.2">
      <c r="A16" t="s">
        <v>25</v>
      </c>
      <c r="F16" s="1" t="s">
        <v>26</v>
      </c>
    </row>
    <row r="17" spans="1:6" x14ac:dyDescent="0.2">
      <c r="A17" t="s">
        <v>27</v>
      </c>
      <c r="F17" s="1" t="s">
        <v>28</v>
      </c>
    </row>
    <row r="18" spans="1:6" x14ac:dyDescent="0.2">
      <c r="A18" t="s">
        <v>29</v>
      </c>
      <c r="F18" s="1" t="s">
        <v>30</v>
      </c>
    </row>
    <row r="19" spans="1:6" x14ac:dyDescent="0.2">
      <c r="A19" t="s">
        <v>31</v>
      </c>
      <c r="F19" s="1" t="s">
        <v>32</v>
      </c>
    </row>
    <row r="20" spans="1:6" x14ac:dyDescent="0.2">
      <c r="A20" t="s">
        <v>33</v>
      </c>
      <c r="F20" s="1" t="s">
        <v>34</v>
      </c>
    </row>
    <row r="21" spans="1:6" x14ac:dyDescent="0.2">
      <c r="A21" t="s">
        <v>35</v>
      </c>
      <c r="F21" s="1" t="s">
        <v>36</v>
      </c>
    </row>
    <row r="22" spans="1:6" x14ac:dyDescent="0.2">
      <c r="A22" t="s">
        <v>37</v>
      </c>
      <c r="F22" s="1" t="s">
        <v>38</v>
      </c>
    </row>
    <row r="100" spans="1:1" x14ac:dyDescent="0.2">
      <c r="A100" s="11">
        <v>41730</v>
      </c>
    </row>
    <row r="65536" spans="256:256" x14ac:dyDescent="0.2">
      <c r="IV65536" s="7" t="s">
        <v>39</v>
      </c>
    </row>
  </sheetData>
  <phoneticPr fontId="0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 tint="-0.249977111117893"/>
  </sheetPr>
  <dimension ref="A2:IV65536"/>
  <sheetViews>
    <sheetView workbookViewId="0">
      <selection activeCell="E36" sqref="E36"/>
    </sheetView>
  </sheetViews>
  <sheetFormatPr baseColWidth="10" defaultColWidth="11.42578125" defaultRowHeight="12.75" x14ac:dyDescent="0.2"/>
  <cols>
    <col min="2" max="2" width="13.140625" customWidth="1"/>
    <col min="5" max="5" width="16.42578125" customWidth="1"/>
  </cols>
  <sheetData>
    <row r="2" spans="1:8" x14ac:dyDescent="0.2">
      <c r="A2" s="8" t="s">
        <v>40</v>
      </c>
    </row>
    <row r="4" spans="1:8" x14ac:dyDescent="0.2">
      <c r="A4" t="s">
        <v>41</v>
      </c>
      <c r="B4" t="s">
        <v>42</v>
      </c>
      <c r="C4" t="s">
        <v>43</v>
      </c>
      <c r="D4" t="s">
        <v>44</v>
      </c>
      <c r="E4" t="s">
        <v>45</v>
      </c>
      <c r="F4" t="s">
        <v>46</v>
      </c>
      <c r="G4" t="s">
        <v>47</v>
      </c>
      <c r="H4" t="s">
        <v>48</v>
      </c>
    </row>
    <row r="5" spans="1:8" x14ac:dyDescent="0.2">
      <c r="A5">
        <v>8874</v>
      </c>
      <c r="B5" t="s">
        <v>49</v>
      </c>
      <c r="C5" s="2">
        <v>43100</v>
      </c>
      <c r="D5" s="1" t="s">
        <v>2</v>
      </c>
      <c r="E5">
        <v>5700</v>
      </c>
      <c r="F5">
        <v>5000</v>
      </c>
      <c r="G5" s="1" t="s">
        <v>13</v>
      </c>
      <c r="H5" s="1" t="s">
        <v>22</v>
      </c>
    </row>
    <row r="6" spans="1:8" x14ac:dyDescent="0.2">
      <c r="A6">
        <v>11102</v>
      </c>
      <c r="B6" s="8" t="s">
        <v>50</v>
      </c>
      <c r="C6" s="2">
        <v>42736</v>
      </c>
      <c r="D6" s="1" t="s">
        <v>2</v>
      </c>
      <c r="E6">
        <v>4500</v>
      </c>
      <c r="F6">
        <v>4300</v>
      </c>
      <c r="G6" s="1" t="s">
        <v>13</v>
      </c>
      <c r="H6" s="1" t="s">
        <v>22</v>
      </c>
    </row>
    <row r="7" spans="1:8" x14ac:dyDescent="0.2">
      <c r="A7">
        <v>8982</v>
      </c>
      <c r="B7" t="s">
        <v>51</v>
      </c>
      <c r="C7" s="2">
        <v>42583</v>
      </c>
      <c r="D7" s="1" t="s">
        <v>2</v>
      </c>
      <c r="E7">
        <v>6800</v>
      </c>
      <c r="F7">
        <v>6200</v>
      </c>
      <c r="G7" s="1" t="s">
        <v>13</v>
      </c>
      <c r="H7" s="1" t="s">
        <v>22</v>
      </c>
    </row>
    <row r="8" spans="1:8" x14ac:dyDescent="0.2">
      <c r="A8">
        <v>10110</v>
      </c>
      <c r="B8" s="8" t="s">
        <v>52</v>
      </c>
      <c r="C8" s="2">
        <v>43266</v>
      </c>
      <c r="D8" s="1" t="s">
        <v>2</v>
      </c>
      <c r="E8">
        <v>5500</v>
      </c>
      <c r="F8">
        <v>6000</v>
      </c>
      <c r="G8" s="1" t="s">
        <v>13</v>
      </c>
      <c r="H8" s="1" t="s">
        <v>22</v>
      </c>
    </row>
    <row r="9" spans="1:8" x14ac:dyDescent="0.2">
      <c r="A9">
        <v>11105</v>
      </c>
      <c r="B9" t="s">
        <v>49</v>
      </c>
      <c r="C9" s="2">
        <v>43330</v>
      </c>
      <c r="D9" s="1" t="s">
        <v>2</v>
      </c>
      <c r="E9">
        <v>1600</v>
      </c>
      <c r="F9">
        <v>1600</v>
      </c>
      <c r="G9" s="1" t="s">
        <v>13</v>
      </c>
      <c r="H9" s="1" t="s">
        <v>22</v>
      </c>
    </row>
    <row r="10" spans="1:8" x14ac:dyDescent="0.2">
      <c r="A10">
        <v>9726</v>
      </c>
      <c r="B10" t="s">
        <v>53</v>
      </c>
      <c r="C10" s="2">
        <v>42431</v>
      </c>
      <c r="D10" s="1" t="s">
        <v>2</v>
      </c>
      <c r="E10">
        <v>715</v>
      </c>
      <c r="F10">
        <v>600</v>
      </c>
      <c r="G10" s="1" t="s">
        <v>13</v>
      </c>
      <c r="H10" s="1" t="s">
        <v>22</v>
      </c>
    </row>
    <row r="11" spans="1:8" x14ac:dyDescent="0.2">
      <c r="A11">
        <v>19994</v>
      </c>
      <c r="B11" s="8" t="s">
        <v>53</v>
      </c>
      <c r="C11" s="2">
        <v>43235</v>
      </c>
      <c r="D11" s="1" t="s">
        <v>2</v>
      </c>
      <c r="E11">
        <v>128</v>
      </c>
      <c r="F11">
        <v>80</v>
      </c>
      <c r="G11" s="1" t="s">
        <v>13</v>
      </c>
      <c r="H11" s="1" t="s">
        <v>22</v>
      </c>
    </row>
    <row r="12" spans="1:8" x14ac:dyDescent="0.2">
      <c r="A12">
        <v>12104</v>
      </c>
      <c r="B12" t="s">
        <v>54</v>
      </c>
      <c r="C12" s="2">
        <v>42616</v>
      </c>
      <c r="D12" s="1" t="s">
        <v>2</v>
      </c>
      <c r="E12">
        <v>456</v>
      </c>
      <c r="F12">
        <v>600</v>
      </c>
      <c r="G12" s="1" t="s">
        <v>13</v>
      </c>
      <c r="H12" s="1" t="s">
        <v>22</v>
      </c>
    </row>
    <row r="13" spans="1:8" x14ac:dyDescent="0.2">
      <c r="A13">
        <v>10108</v>
      </c>
      <c r="B13" t="s">
        <v>51</v>
      </c>
      <c r="C13" s="2">
        <v>42543</v>
      </c>
      <c r="D13" s="1" t="s">
        <v>2</v>
      </c>
      <c r="E13">
        <v>721</v>
      </c>
      <c r="F13">
        <v>480</v>
      </c>
      <c r="G13" s="1" t="s">
        <v>13</v>
      </c>
      <c r="H13" s="1" t="s">
        <v>22</v>
      </c>
    </row>
    <row r="14" spans="1:8" x14ac:dyDescent="0.2">
      <c r="B14" t="s">
        <v>53</v>
      </c>
      <c r="C14" s="2">
        <v>42861</v>
      </c>
      <c r="D14" s="1" t="s">
        <v>2</v>
      </c>
      <c r="E14">
        <v>79</v>
      </c>
      <c r="F14">
        <v>170</v>
      </c>
      <c r="G14" s="1" t="s">
        <v>13</v>
      </c>
      <c r="H14" s="1" t="s">
        <v>22</v>
      </c>
    </row>
    <row r="15" spans="1:8" x14ac:dyDescent="0.2">
      <c r="A15">
        <v>14135</v>
      </c>
      <c r="B15" t="s">
        <v>51</v>
      </c>
      <c r="C15" s="2">
        <v>43091</v>
      </c>
      <c r="D15" s="1" t="s">
        <v>2</v>
      </c>
      <c r="E15">
        <v>1563</v>
      </c>
      <c r="F15">
        <v>1500</v>
      </c>
      <c r="G15" s="1" t="s">
        <v>13</v>
      </c>
      <c r="H15" s="1" t="s">
        <v>22</v>
      </c>
    </row>
    <row r="16" spans="1:8" x14ac:dyDescent="0.2">
      <c r="A16">
        <v>12553</v>
      </c>
      <c r="B16" t="s">
        <v>49</v>
      </c>
      <c r="C16" s="2">
        <v>42565</v>
      </c>
      <c r="D16" s="1" t="s">
        <v>2</v>
      </c>
      <c r="E16">
        <v>98</v>
      </c>
      <c r="F16">
        <v>120</v>
      </c>
      <c r="G16" s="1" t="s">
        <v>13</v>
      </c>
      <c r="H16" s="1" t="s">
        <v>22</v>
      </c>
    </row>
    <row r="17" spans="1:8" ht="13.5" customHeight="1" x14ac:dyDescent="0.2">
      <c r="B17" s="8" t="s">
        <v>55</v>
      </c>
      <c r="C17" s="2">
        <v>43212</v>
      </c>
      <c r="D17" s="1" t="s">
        <v>2</v>
      </c>
      <c r="E17">
        <v>6</v>
      </c>
      <c r="F17">
        <v>4</v>
      </c>
      <c r="G17" s="1" t="s">
        <v>13</v>
      </c>
      <c r="H17" s="1" t="s">
        <v>22</v>
      </c>
    </row>
    <row r="18" spans="1:8" x14ac:dyDescent="0.2">
      <c r="A18">
        <v>21864</v>
      </c>
      <c r="B18" t="s">
        <v>49</v>
      </c>
      <c r="C18" s="2">
        <v>42817</v>
      </c>
      <c r="D18" s="1" t="s">
        <v>2</v>
      </c>
      <c r="E18">
        <v>457</v>
      </c>
      <c r="F18">
        <v>450</v>
      </c>
      <c r="G18" s="1" t="s">
        <v>13</v>
      </c>
      <c r="H18" s="1" t="s">
        <v>22</v>
      </c>
    </row>
    <row r="19" spans="1:8" x14ac:dyDescent="0.2">
      <c r="A19">
        <v>1175</v>
      </c>
      <c r="B19" s="8" t="s">
        <v>56</v>
      </c>
      <c r="C19" s="2">
        <v>42488</v>
      </c>
      <c r="D19" s="1" t="s">
        <v>2</v>
      </c>
      <c r="E19">
        <v>200</v>
      </c>
      <c r="F19">
        <v>198</v>
      </c>
      <c r="G19" s="1" t="s">
        <v>13</v>
      </c>
      <c r="H19" s="1" t="s">
        <v>22</v>
      </c>
    </row>
    <row r="20" spans="1:8" x14ac:dyDescent="0.2">
      <c r="B20" s="8" t="s">
        <v>51</v>
      </c>
      <c r="C20" s="2">
        <v>43405</v>
      </c>
      <c r="D20" s="1" t="s">
        <v>2</v>
      </c>
      <c r="E20">
        <v>398</v>
      </c>
      <c r="F20">
        <v>600</v>
      </c>
      <c r="G20" s="1" t="s">
        <v>13</v>
      </c>
      <c r="H20" s="1" t="s">
        <v>22</v>
      </c>
    </row>
    <row r="22" spans="1:8" x14ac:dyDescent="0.2">
      <c r="A22" t="s">
        <v>57</v>
      </c>
      <c r="F22" s="1" t="s">
        <v>26</v>
      </c>
    </row>
    <row r="23" spans="1:8" x14ac:dyDescent="0.2">
      <c r="A23" t="s">
        <v>58</v>
      </c>
      <c r="F23" s="1" t="s">
        <v>28</v>
      </c>
    </row>
    <row r="24" spans="1:8" x14ac:dyDescent="0.2">
      <c r="A24" t="s">
        <v>59</v>
      </c>
      <c r="F24" s="1" t="s">
        <v>30</v>
      </c>
    </row>
    <row r="25" spans="1:8" x14ac:dyDescent="0.2">
      <c r="A25" t="s">
        <v>60</v>
      </c>
      <c r="F25" s="1" t="s">
        <v>32</v>
      </c>
    </row>
    <row r="26" spans="1:8" x14ac:dyDescent="0.2">
      <c r="A26" t="s">
        <v>61</v>
      </c>
      <c r="F26" s="1" t="s">
        <v>34</v>
      </c>
    </row>
    <row r="100" spans="1:1" x14ac:dyDescent="0.2">
      <c r="A100" s="12">
        <v>41730</v>
      </c>
    </row>
    <row r="65536" spans="256:256" x14ac:dyDescent="0.2">
      <c r="IV65536" s="7" t="s">
        <v>39</v>
      </c>
    </row>
  </sheetData>
  <phoneticPr fontId="3" type="noConversion"/>
  <pageMargins left="0.75" right="0.75" top="1" bottom="1" header="0" footer="0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8" tint="0.39997558519241921"/>
  </sheetPr>
  <dimension ref="A1:IV65536"/>
  <sheetViews>
    <sheetView workbookViewId="0">
      <selection activeCell="F30" sqref="F30"/>
    </sheetView>
  </sheetViews>
  <sheetFormatPr baseColWidth="10" defaultColWidth="11.42578125" defaultRowHeight="12.75" x14ac:dyDescent="0.2"/>
  <cols>
    <col min="2" max="2" width="14.28515625" customWidth="1"/>
    <col min="3" max="3" width="11.85546875" bestFit="1" customWidth="1"/>
  </cols>
  <sheetData>
    <row r="1" spans="1:10" x14ac:dyDescent="0.2">
      <c r="A1" t="s">
        <v>62</v>
      </c>
    </row>
    <row r="3" spans="1:10" ht="14.25" x14ac:dyDescent="0.2">
      <c r="A3" t="s">
        <v>63</v>
      </c>
      <c r="B3" t="s">
        <v>64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s="8" t="s">
        <v>71</v>
      </c>
      <c r="J3" s="8" t="s">
        <v>72</v>
      </c>
    </row>
    <row r="4" spans="1:10" x14ac:dyDescent="0.2">
      <c r="A4" s="3" t="s">
        <v>73</v>
      </c>
      <c r="B4">
        <v>120</v>
      </c>
      <c r="C4" s="13" t="s">
        <v>2</v>
      </c>
      <c r="D4" s="8" t="s">
        <v>13</v>
      </c>
      <c r="E4" s="8" t="s">
        <v>22</v>
      </c>
      <c r="F4" s="8" t="s">
        <v>23</v>
      </c>
      <c r="G4" s="8" t="s">
        <v>14</v>
      </c>
      <c r="H4" s="8" t="s">
        <v>24</v>
      </c>
      <c r="I4" s="8" t="s">
        <v>26</v>
      </c>
      <c r="J4" s="8" t="s">
        <v>28</v>
      </c>
    </row>
    <row r="5" spans="1:10" x14ac:dyDescent="0.2">
      <c r="A5" s="3" t="s">
        <v>74</v>
      </c>
      <c r="B5">
        <v>150</v>
      </c>
      <c r="C5" s="13" t="s">
        <v>2</v>
      </c>
      <c r="D5" s="8" t="s">
        <v>13</v>
      </c>
      <c r="E5" s="8" t="s">
        <v>22</v>
      </c>
      <c r="F5" s="8" t="s">
        <v>23</v>
      </c>
      <c r="G5" s="8" t="s">
        <v>14</v>
      </c>
      <c r="H5" s="8" t="s">
        <v>24</v>
      </c>
      <c r="I5" s="8" t="s">
        <v>26</v>
      </c>
      <c r="J5" s="8" t="s">
        <v>28</v>
      </c>
    </row>
    <row r="6" spans="1:10" x14ac:dyDescent="0.2">
      <c r="A6" s="3" t="s">
        <v>75</v>
      </c>
      <c r="B6">
        <v>125</v>
      </c>
      <c r="C6" s="13" t="s">
        <v>2</v>
      </c>
      <c r="D6" s="8" t="s">
        <v>13</v>
      </c>
      <c r="E6" s="8" t="s">
        <v>22</v>
      </c>
      <c r="F6" s="8" t="s">
        <v>23</v>
      </c>
      <c r="G6" s="8" t="s">
        <v>14</v>
      </c>
      <c r="H6" s="8" t="s">
        <v>24</v>
      </c>
      <c r="I6" s="8" t="s">
        <v>26</v>
      </c>
      <c r="J6" s="8" t="s">
        <v>28</v>
      </c>
    </row>
    <row r="7" spans="1:10" x14ac:dyDescent="0.2">
      <c r="A7" s="3" t="s">
        <v>76</v>
      </c>
      <c r="B7">
        <v>140</v>
      </c>
      <c r="C7" s="13" t="s">
        <v>2</v>
      </c>
      <c r="D7" s="8" t="s">
        <v>13</v>
      </c>
      <c r="E7" s="8" t="s">
        <v>22</v>
      </c>
      <c r="F7" s="8" t="s">
        <v>23</v>
      </c>
      <c r="G7" s="8" t="s">
        <v>14</v>
      </c>
      <c r="H7" s="8" t="s">
        <v>24</v>
      </c>
      <c r="I7" s="8" t="s">
        <v>26</v>
      </c>
      <c r="J7" s="8" t="s">
        <v>28</v>
      </c>
    </row>
    <row r="8" spans="1:10" x14ac:dyDescent="0.2">
      <c r="A8" s="3" t="s">
        <v>77</v>
      </c>
      <c r="B8">
        <v>150</v>
      </c>
      <c r="C8" s="13" t="s">
        <v>2</v>
      </c>
      <c r="D8" s="8" t="s">
        <v>13</v>
      </c>
      <c r="E8" s="8" t="s">
        <v>22</v>
      </c>
      <c r="F8" s="8" t="s">
        <v>23</v>
      </c>
      <c r="G8" s="8" t="s">
        <v>14</v>
      </c>
      <c r="H8" s="8" t="s">
        <v>24</v>
      </c>
      <c r="I8" s="8" t="s">
        <v>26</v>
      </c>
      <c r="J8" s="8" t="s">
        <v>28</v>
      </c>
    </row>
    <row r="9" spans="1:10" x14ac:dyDescent="0.2">
      <c r="A9" s="3" t="s">
        <v>78</v>
      </c>
      <c r="B9">
        <v>180</v>
      </c>
      <c r="C9" s="13" t="s">
        <v>2</v>
      </c>
      <c r="D9" s="8" t="s">
        <v>13</v>
      </c>
      <c r="E9" s="8" t="s">
        <v>22</v>
      </c>
      <c r="F9" s="8" t="s">
        <v>23</v>
      </c>
      <c r="G9" s="8" t="s">
        <v>14</v>
      </c>
      <c r="H9" s="8" t="s">
        <v>24</v>
      </c>
      <c r="I9" s="8" t="s">
        <v>26</v>
      </c>
      <c r="J9" s="8" t="s">
        <v>28</v>
      </c>
    </row>
    <row r="12" spans="1:10" ht="14.25" x14ac:dyDescent="0.2">
      <c r="A12" s="3" t="s">
        <v>79</v>
      </c>
      <c r="C12" s="10">
        <v>99000</v>
      </c>
    </row>
    <row r="13" spans="1:10" x14ac:dyDescent="0.2">
      <c r="A13" s="3" t="s">
        <v>80</v>
      </c>
      <c r="C13" s="9">
        <v>0.1</v>
      </c>
    </row>
    <row r="14" spans="1:10" x14ac:dyDescent="0.2">
      <c r="A14" s="3" t="s">
        <v>81</v>
      </c>
      <c r="C14" s="9">
        <v>2.5000000000000001E-2</v>
      </c>
    </row>
    <row r="15" spans="1:10" x14ac:dyDescent="0.2">
      <c r="A15" s="3" t="s">
        <v>82</v>
      </c>
      <c r="C15" s="9">
        <v>0.01</v>
      </c>
    </row>
    <row r="16" spans="1:10" x14ac:dyDescent="0.2">
      <c r="A16" s="3" t="s">
        <v>83</v>
      </c>
      <c r="C16" s="9">
        <v>0.05</v>
      </c>
    </row>
    <row r="19" spans="1:3" x14ac:dyDescent="0.2">
      <c r="A19" s="3" t="s">
        <v>84</v>
      </c>
      <c r="C19" s="8" t="s">
        <v>30</v>
      </c>
    </row>
    <row r="20" spans="1:3" x14ac:dyDescent="0.2">
      <c r="A20" s="14" t="s">
        <v>85</v>
      </c>
      <c r="C20" s="8" t="s">
        <v>30</v>
      </c>
    </row>
    <row r="100" spans="1:1" x14ac:dyDescent="0.2">
      <c r="A100" s="12">
        <v>41730</v>
      </c>
    </row>
    <row r="65536" spans="256:256" x14ac:dyDescent="0.2">
      <c r="IV65536" s="7" t="s">
        <v>39</v>
      </c>
    </row>
  </sheetData>
  <phoneticPr fontId="3" type="noConversion"/>
  <pageMargins left="0.75" right="0.75" top="1" bottom="1" header="0" footer="0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7030A0"/>
  </sheetPr>
  <dimension ref="A1:IV65536"/>
  <sheetViews>
    <sheetView workbookViewId="0">
      <selection activeCell="F33" sqref="F33"/>
    </sheetView>
  </sheetViews>
  <sheetFormatPr baseColWidth="10" defaultColWidth="11.42578125" defaultRowHeight="12.75" x14ac:dyDescent="0.2"/>
  <cols>
    <col min="5" max="5" width="14.7109375" customWidth="1"/>
    <col min="6" max="6" width="12.7109375" customWidth="1"/>
    <col min="7" max="7" width="13.28515625" customWidth="1"/>
  </cols>
  <sheetData>
    <row r="1" spans="1:10" x14ac:dyDescent="0.2">
      <c r="A1" t="s">
        <v>86</v>
      </c>
    </row>
    <row r="3" spans="1:10" x14ac:dyDescent="0.2">
      <c r="A3" t="s">
        <v>87</v>
      </c>
      <c r="C3" t="s">
        <v>88</v>
      </c>
      <c r="G3" s="5"/>
      <c r="I3" t="s">
        <v>1</v>
      </c>
      <c r="J3" s="16" t="s">
        <v>121</v>
      </c>
    </row>
    <row r="4" spans="1:10" x14ac:dyDescent="0.2">
      <c r="A4" t="s">
        <v>89</v>
      </c>
    </row>
    <row r="5" spans="1:10" x14ac:dyDescent="0.2">
      <c r="A5" s="8" t="s">
        <v>90</v>
      </c>
      <c r="C5">
        <v>24500</v>
      </c>
      <c r="F5" t="s">
        <v>91</v>
      </c>
      <c r="H5" s="6">
        <v>8.0000000000000004E-4</v>
      </c>
    </row>
    <row r="7" spans="1:10" x14ac:dyDescent="0.2">
      <c r="A7" t="s">
        <v>92</v>
      </c>
      <c r="B7" t="s">
        <v>93</v>
      </c>
      <c r="C7" t="s">
        <v>94</v>
      </c>
      <c r="D7" t="s">
        <v>95</v>
      </c>
      <c r="E7" t="s">
        <v>96</v>
      </c>
      <c r="F7" s="8" t="s">
        <v>97</v>
      </c>
      <c r="G7" s="8" t="s">
        <v>98</v>
      </c>
      <c r="H7" s="8" t="s">
        <v>99</v>
      </c>
      <c r="I7" t="s">
        <v>100</v>
      </c>
      <c r="J7" s="8" t="s">
        <v>101</v>
      </c>
    </row>
    <row r="8" spans="1:10" x14ac:dyDescent="0.2">
      <c r="A8">
        <v>1</v>
      </c>
      <c r="B8">
        <v>1</v>
      </c>
      <c r="C8" t="s">
        <v>102</v>
      </c>
      <c r="D8" s="4">
        <v>0.08</v>
      </c>
      <c r="E8" s="1" t="s">
        <v>103</v>
      </c>
      <c r="F8">
        <v>1650</v>
      </c>
      <c r="G8" s="2">
        <f ca="1">TODAY()-1700</f>
        <v>43637</v>
      </c>
      <c r="H8" s="1" t="s">
        <v>104</v>
      </c>
      <c r="I8" s="1" t="s">
        <v>105</v>
      </c>
      <c r="J8" s="1" t="s">
        <v>106</v>
      </c>
    </row>
    <row r="9" spans="1:10" x14ac:dyDescent="0.2">
      <c r="A9">
        <v>2</v>
      </c>
      <c r="B9">
        <v>1</v>
      </c>
      <c r="C9" t="s">
        <v>107</v>
      </c>
      <c r="D9" s="4">
        <v>0.08</v>
      </c>
      <c r="E9" s="1" t="s">
        <v>103</v>
      </c>
      <c r="F9">
        <v>550</v>
      </c>
      <c r="G9" s="2">
        <f ca="1">TODAY()-500</f>
        <v>44837</v>
      </c>
      <c r="H9" s="1" t="s">
        <v>104</v>
      </c>
      <c r="I9" s="1" t="s">
        <v>105</v>
      </c>
      <c r="J9" s="1" t="s">
        <v>106</v>
      </c>
    </row>
    <row r="10" spans="1:10" x14ac:dyDescent="0.2">
      <c r="A10">
        <v>3</v>
      </c>
      <c r="B10">
        <v>1</v>
      </c>
      <c r="C10" t="s">
        <v>108</v>
      </c>
      <c r="D10" s="4">
        <v>0.15</v>
      </c>
      <c r="E10" s="1" t="s">
        <v>103</v>
      </c>
      <c r="F10">
        <v>1300</v>
      </c>
      <c r="G10" s="2">
        <f ca="1">TODAY()-925</f>
        <v>44412</v>
      </c>
      <c r="H10" s="1" t="s">
        <v>104</v>
      </c>
      <c r="I10" s="1" t="s">
        <v>105</v>
      </c>
      <c r="J10" s="1" t="s">
        <v>106</v>
      </c>
    </row>
    <row r="11" spans="1:10" x14ac:dyDescent="0.2">
      <c r="A11">
        <v>4</v>
      </c>
      <c r="B11">
        <v>2</v>
      </c>
      <c r="C11" t="s">
        <v>102</v>
      </c>
      <c r="D11" s="4">
        <v>0.1</v>
      </c>
      <c r="E11" s="1" t="s">
        <v>103</v>
      </c>
      <c r="G11" s="2"/>
      <c r="H11" s="1" t="s">
        <v>104</v>
      </c>
      <c r="I11" s="1" t="s">
        <v>105</v>
      </c>
      <c r="J11" s="1" t="s">
        <v>106</v>
      </c>
    </row>
    <row r="12" spans="1:10" x14ac:dyDescent="0.2">
      <c r="A12">
        <v>5</v>
      </c>
      <c r="B12">
        <v>2</v>
      </c>
      <c r="C12" t="s">
        <v>107</v>
      </c>
      <c r="D12" s="4">
        <v>0.1</v>
      </c>
      <c r="E12" s="1" t="s">
        <v>103</v>
      </c>
      <c r="G12" s="2"/>
      <c r="H12" s="1" t="s">
        <v>104</v>
      </c>
      <c r="I12" s="1" t="s">
        <v>105</v>
      </c>
      <c r="J12" s="1" t="s">
        <v>106</v>
      </c>
    </row>
    <row r="13" spans="1:10" x14ac:dyDescent="0.2">
      <c r="A13">
        <v>6</v>
      </c>
      <c r="B13">
        <v>2</v>
      </c>
      <c r="C13" t="s">
        <v>108</v>
      </c>
      <c r="D13" s="4">
        <v>0.09</v>
      </c>
      <c r="E13" s="1" t="s">
        <v>103</v>
      </c>
      <c r="F13">
        <v>2350</v>
      </c>
      <c r="G13" s="2">
        <f ca="1">TODAY()-128</f>
        <v>45209</v>
      </c>
      <c r="H13" s="1" t="s">
        <v>104</v>
      </c>
      <c r="I13" s="1" t="s">
        <v>105</v>
      </c>
      <c r="J13" s="1" t="s">
        <v>106</v>
      </c>
    </row>
    <row r="14" spans="1:10" x14ac:dyDescent="0.2">
      <c r="A14">
        <v>7</v>
      </c>
      <c r="B14">
        <v>3</v>
      </c>
      <c r="C14" t="s">
        <v>102</v>
      </c>
      <c r="D14" s="4">
        <v>0.12</v>
      </c>
      <c r="E14" s="1" t="s">
        <v>103</v>
      </c>
      <c r="F14">
        <v>2750</v>
      </c>
      <c r="G14" s="2">
        <f ca="1">TODAY()-1925</f>
        <v>43412</v>
      </c>
      <c r="H14" s="1" t="s">
        <v>104</v>
      </c>
      <c r="I14" s="1" t="s">
        <v>105</v>
      </c>
      <c r="J14" s="1" t="s">
        <v>106</v>
      </c>
    </row>
    <row r="15" spans="1:10" x14ac:dyDescent="0.2">
      <c r="A15">
        <v>8</v>
      </c>
      <c r="B15">
        <v>3</v>
      </c>
      <c r="C15" t="s">
        <v>107</v>
      </c>
      <c r="D15" s="4">
        <v>0.09</v>
      </c>
      <c r="E15" s="1" t="s">
        <v>103</v>
      </c>
      <c r="G15" s="2"/>
      <c r="H15" s="1" t="s">
        <v>104</v>
      </c>
      <c r="I15" s="1" t="s">
        <v>105</v>
      </c>
      <c r="J15" s="1" t="s">
        <v>106</v>
      </c>
    </row>
    <row r="16" spans="1:10" x14ac:dyDescent="0.2">
      <c r="A16">
        <v>9</v>
      </c>
      <c r="B16">
        <v>3</v>
      </c>
      <c r="C16" t="s">
        <v>108</v>
      </c>
      <c r="D16" s="4">
        <v>0.12</v>
      </c>
      <c r="E16" s="1" t="s">
        <v>103</v>
      </c>
      <c r="G16" s="2"/>
      <c r="H16" s="1" t="s">
        <v>104</v>
      </c>
      <c r="I16" s="1" t="s">
        <v>105</v>
      </c>
      <c r="J16" s="1" t="s">
        <v>106</v>
      </c>
    </row>
    <row r="17" spans="1:10" x14ac:dyDescent="0.2">
      <c r="A17">
        <v>10</v>
      </c>
      <c r="B17">
        <v>4</v>
      </c>
      <c r="C17" t="s">
        <v>102</v>
      </c>
      <c r="D17" s="4">
        <v>7.0000000000000007E-2</v>
      </c>
      <c r="E17" s="1" t="s">
        <v>103</v>
      </c>
      <c r="F17">
        <v>3200</v>
      </c>
      <c r="G17" s="2">
        <f t="shared" ref="G17" ca="1" si="0">TODAY()-1925</f>
        <v>43412</v>
      </c>
      <c r="H17" s="1" t="s">
        <v>104</v>
      </c>
      <c r="I17" s="1" t="s">
        <v>105</v>
      </c>
      <c r="J17" s="1" t="s">
        <v>106</v>
      </c>
    </row>
    <row r="18" spans="1:10" x14ac:dyDescent="0.2">
      <c r="A18" t="s">
        <v>109</v>
      </c>
      <c r="D18" s="1" t="s">
        <v>110</v>
      </c>
      <c r="E18" s="1" t="s">
        <v>110</v>
      </c>
      <c r="F18" s="1" t="s">
        <v>110</v>
      </c>
      <c r="G18" s="1"/>
      <c r="H18" s="1" t="s">
        <v>110</v>
      </c>
      <c r="I18" s="1" t="s">
        <v>110</v>
      </c>
    </row>
    <row r="20" spans="1:10" x14ac:dyDescent="0.2">
      <c r="D20" s="6"/>
    </row>
    <row r="21" spans="1:10" x14ac:dyDescent="0.2">
      <c r="A21" s="8" t="s">
        <v>111</v>
      </c>
      <c r="F21" s="1" t="s">
        <v>112</v>
      </c>
    </row>
    <row r="22" spans="1:10" x14ac:dyDescent="0.2">
      <c r="A22" s="8" t="s">
        <v>113</v>
      </c>
      <c r="F22" s="1" t="s">
        <v>114</v>
      </c>
    </row>
    <row r="23" spans="1:10" x14ac:dyDescent="0.2">
      <c r="A23" s="8" t="s">
        <v>115</v>
      </c>
      <c r="F23" s="1" t="s">
        <v>116</v>
      </c>
    </row>
    <row r="24" spans="1:10" x14ac:dyDescent="0.2">
      <c r="A24" s="8" t="s">
        <v>117</v>
      </c>
      <c r="F24" s="1" t="s">
        <v>118</v>
      </c>
    </row>
    <row r="25" spans="1:10" x14ac:dyDescent="0.2">
      <c r="A25" s="8" t="s">
        <v>123</v>
      </c>
      <c r="F25" s="1" t="s">
        <v>120</v>
      </c>
    </row>
    <row r="26" spans="1:10" x14ac:dyDescent="0.2">
      <c r="A26" s="8" t="s">
        <v>119</v>
      </c>
      <c r="F26" s="17" t="s">
        <v>122</v>
      </c>
    </row>
    <row r="100" spans="1:1" x14ac:dyDescent="0.2">
      <c r="A100" s="12">
        <v>41730</v>
      </c>
    </row>
    <row r="65536" spans="256:256" x14ac:dyDescent="0.2">
      <c r="IV65536" s="7" t="s">
        <v>39</v>
      </c>
    </row>
  </sheetData>
  <phoneticPr fontId="3" type="noConversion"/>
  <pageMargins left="0.75" right="0.75" top="1" bottom="1" header="0" footer="0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Datos personales</vt:lpstr>
      <vt:lpstr>Ejercicio 1</vt:lpstr>
      <vt:lpstr>Ejercicio 2</vt:lpstr>
      <vt:lpstr>Ejercicio 3</vt:lpstr>
      <vt:lpstr>Ejercicio 4</vt:lpstr>
      <vt:lpstr>A1.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CHANIVET DAN ELOY</cp:lastModifiedBy>
  <cp:revision>1</cp:revision>
  <dcterms:created xsi:type="dcterms:W3CDTF">2023-09-16T23:19:43Z</dcterms:created>
  <dcterms:modified xsi:type="dcterms:W3CDTF">2024-02-16T01:40:08Z</dcterms:modified>
  <cp:category/>
  <cp:contentStatus/>
</cp:coreProperties>
</file>