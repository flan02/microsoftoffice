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Usuario\Documents\VSCode Projects\microsoftoffice\microsoftoffice\trabajos practicos\excel\"/>
    </mc:Choice>
  </mc:AlternateContent>
  <xr:revisionPtr revIDLastSave="0" documentId="13_ncr:11_{D1A3FCEC-570D-401E-AE2D-CDF63F3AF6E5}" xr6:coauthVersionLast="47" xr6:coauthVersionMax="47" xr10:uidLastSave="{00000000-0000-0000-0000-000000000000}"/>
  <workbookProtection workbookAlgorithmName="SHA-512" workbookHashValue="2Tkj8o8+7YtzitGhF2I+rffAasFm5L0CHo5qZfuSqIxe/7oFxAe65vz65mqUYATu+TqJfscxq7HfeCRYKPn0+Q==" workbookSaltValue="QwUs+OBWVUbzmDDUYfXYyg==" workbookSpinCount="100000" lockStructure="1"/>
  <bookViews>
    <workbookView xWindow="75" yWindow="105" windowWidth="16605" windowHeight="15495" tabRatio="702" activeTab="3" xr2:uid="{00000000-000D-0000-FFFF-FFFF00000000}"/>
  </bookViews>
  <sheets>
    <sheet name="Datos personales" sheetId="15" r:id="rId1"/>
    <sheet name="Ejercicio 1" sheetId="10" r:id="rId2"/>
    <sheet name="Ejercicio 2" sheetId="12" r:id="rId3"/>
    <sheet name="Ejercicio 3" sheetId="13" r:id="rId4"/>
    <sheet name="Ejercicio 4" sheetId="14" r:id="rId5"/>
  </sheets>
  <definedNames>
    <definedName name="A1.">'Datos personales'!$RAA$1892</definedName>
    <definedName name="aranceles">#REF!</definedName>
    <definedName name="inscripciones">#REF!</definedName>
    <definedName name="IVA">#REF!</definedName>
    <definedName name="materias">#REF!</definedName>
    <definedName name="Productos">#REF!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" i="10" l="1"/>
  <c r="K14" i="10"/>
  <c r="K13" i="10"/>
  <c r="K12" i="10"/>
  <c r="K11" i="10"/>
  <c r="K10" i="10"/>
  <c r="K9" i="10"/>
  <c r="K8" i="10"/>
  <c r="K7" i="10"/>
  <c r="K6" i="10"/>
  <c r="K5" i="10"/>
  <c r="J15" i="10"/>
  <c r="J14" i="10"/>
  <c r="J13" i="10"/>
  <c r="J12" i="10"/>
  <c r="J11" i="10"/>
  <c r="J10" i="10"/>
  <c r="J9" i="10"/>
  <c r="J8" i="10"/>
  <c r="J7" i="10"/>
  <c r="J6" i="10"/>
  <c r="J5" i="10"/>
  <c r="I15" i="10"/>
  <c r="I14" i="10"/>
  <c r="I13" i="10"/>
  <c r="I12" i="10"/>
  <c r="I11" i="10"/>
  <c r="I10" i="10"/>
  <c r="I9" i="10"/>
  <c r="I8" i="10"/>
  <c r="I7" i="10"/>
  <c r="I6" i="10"/>
  <c r="I5" i="10"/>
  <c r="H15" i="10"/>
  <c r="H14" i="10"/>
  <c r="H13" i="10"/>
  <c r="H12" i="10"/>
  <c r="H11" i="10"/>
  <c r="H10" i="10"/>
  <c r="H9" i="10"/>
  <c r="H8" i="10"/>
  <c r="H7" i="10"/>
  <c r="H6" i="10"/>
  <c r="H5" i="10"/>
  <c r="G15" i="10"/>
  <c r="G14" i="10"/>
  <c r="G13" i="10"/>
  <c r="G12" i="10"/>
  <c r="G11" i="10"/>
  <c r="G10" i="10"/>
  <c r="G9" i="10"/>
  <c r="G8" i="10"/>
  <c r="G7" i="10"/>
  <c r="G6" i="10"/>
  <c r="G5" i="10"/>
  <c r="F15" i="10"/>
  <c r="F14" i="10"/>
  <c r="F13" i="10"/>
  <c r="F12" i="10"/>
  <c r="F11" i="10"/>
  <c r="F10" i="10"/>
  <c r="F9" i="10"/>
  <c r="F8" i="10"/>
  <c r="F7" i="10"/>
  <c r="F6" i="10"/>
  <c r="F5" i="10"/>
  <c r="F2" i="12"/>
  <c r="G2" i="12" s="1"/>
  <c r="F3" i="12"/>
  <c r="G3" i="12" s="1"/>
  <c r="F4" i="12"/>
  <c r="G4" i="12" s="1"/>
  <c r="F5" i="12"/>
  <c r="G5" i="12" s="1"/>
  <c r="F6" i="12"/>
  <c r="G6" i="12" s="1"/>
  <c r="F7" i="12"/>
  <c r="G7" i="12" s="1"/>
  <c r="C8" i="12"/>
  <c r="D8" i="12"/>
  <c r="E8" i="12"/>
  <c r="F8" i="12" l="1"/>
  <c r="G8" i="12" s="1"/>
  <c r="RAH1901" i="15"/>
  <c r="RAG1903" i="15"/>
  <c r="RAH1904" i="15"/>
  <c r="RAI1904" i="15"/>
</calcChain>
</file>

<file path=xl/sharedStrings.xml><?xml version="1.0" encoding="utf-8"?>
<sst xmlns="http://schemas.openxmlformats.org/spreadsheetml/2006/main" count="71" uniqueCount="63">
  <si>
    <t>Clases dictadas en el cuatrimestre:</t>
  </si>
  <si>
    <t>Alumno</t>
  </si>
  <si>
    <t>Calificaciones</t>
  </si>
  <si>
    <t>Inasistencias</t>
  </si>
  <si>
    <t>Promedio de los parciales</t>
  </si>
  <si>
    <t>Resultado de los T.P.</t>
  </si>
  <si>
    <t>Asignación beca</t>
  </si>
  <si>
    <t>Observaciones</t>
  </si>
  <si>
    <t>Resultado final cuatrimestre</t>
  </si>
  <si>
    <t>Parcial 1</t>
  </si>
  <si>
    <t>Parcial 2</t>
  </si>
  <si>
    <t>T.P.</t>
  </si>
  <si>
    <t>Cantidad</t>
  </si>
  <si>
    <t>Porcentaje</t>
  </si>
  <si>
    <t>Luis Gomez</t>
  </si>
  <si>
    <t>Ana López</t>
  </si>
  <si>
    <t>María Marquez</t>
  </si>
  <si>
    <t>Mabel Urquiza</t>
  </si>
  <si>
    <t>Jorge Diaz</t>
  </si>
  <si>
    <t>Sabrina Ruiz</t>
  </si>
  <si>
    <t>Susana Sanchez</t>
  </si>
  <si>
    <t>Pedro Calvo</t>
  </si>
  <si>
    <t>Carlos Suarez</t>
  </si>
  <si>
    <t>Hector Perez</t>
  </si>
  <si>
    <t>Elena Noriega</t>
  </si>
  <si>
    <t>6-2</t>
  </si>
  <si>
    <t>Nro. de legajo</t>
  </si>
  <si>
    <t>Apellido y nombre</t>
  </si>
  <si>
    <t>Ventas de Mayo</t>
  </si>
  <si>
    <t>Ventas de Junio</t>
  </si>
  <si>
    <t>Ventas de Julio</t>
  </si>
  <si>
    <t>Total del vendedor</t>
  </si>
  <si>
    <t>Importe comisión</t>
  </si>
  <si>
    <t>Rodriguez Ana</t>
  </si>
  <si>
    <t>Totales</t>
  </si>
  <si>
    <t>Cantidad de alumnos según los turnos</t>
  </si>
  <si>
    <t>Año 2010</t>
  </si>
  <si>
    <t>Año 2011</t>
  </si>
  <si>
    <t>Año 2012</t>
  </si>
  <si>
    <t>Año 2013</t>
  </si>
  <si>
    <t>Año 2014</t>
  </si>
  <si>
    <t>Año 2015</t>
  </si>
  <si>
    <t>Año 2016</t>
  </si>
  <si>
    <t>Mañana</t>
  </si>
  <si>
    <t>Tarde</t>
  </si>
  <si>
    <t>Noche</t>
  </si>
  <si>
    <t>Cosechas, en miles de toneladas y por año</t>
  </si>
  <si>
    <t>Trigo</t>
  </si>
  <si>
    <t>Avena</t>
  </si>
  <si>
    <t>Soja</t>
  </si>
  <si>
    <t>Maíz</t>
  </si>
  <si>
    <t>Apellido y Nombre, Curso y Docente/s</t>
  </si>
  <si>
    <t>Ejemplo</t>
  </si>
  <si>
    <t>Juan Cruz Mamerto Garcia, 912-36, Armando Balcarce</t>
  </si>
  <si>
    <t>Empezo a trabajar con el archivo el</t>
  </si>
  <si>
    <t>Cambios de autor del archivo</t>
  </si>
  <si>
    <t>Dato Anterior</t>
  </si>
  <si>
    <t>a</t>
  </si>
  <si>
    <t>b</t>
  </si>
  <si>
    <t>c</t>
  </si>
  <si>
    <t>d</t>
  </si>
  <si>
    <t>e</t>
  </si>
  <si>
    <t>Si cambio valores en las celdas de las tablas, los graficos se actualizan con cada nuevo dato modificado.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</si>
</sst>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$&quot;* #,##0.00_-;\-&quot;$&quot;* #,##0.00_-;_-&quot;$&quot;* &quot;-&quot;??_-;_-@_-"/>
    <numFmt numFmtId="165" formatCode="_-* #,##0.00\ [$€]_-;\-* #,##0.00\ [$€]_-;_-* &quot;-&quot;??\ [$€]_-;_-@_-"/>
    <numFmt numFmtId="166" formatCode="dd/mm/yyyy\ h:mm:ss"/>
  </numFmts>
  <fonts count="1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</font>
    <font>
      <sz val="20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B050"/>
      </top>
      <bottom/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 style="medium">
        <color rgb="FF00B050"/>
      </bottom>
      <diagonal/>
    </border>
  </borders>
  <cellStyleXfs count="4">
    <xf numFmtId="0" fontId="0" fillId="0" borderId="0"/>
    <xf numFmtId="165" fontId="2" fillId="0" borderId="0" applyFont="0" applyFill="0" applyBorder="0" applyAlignment="0" applyProtection="0"/>
    <xf numFmtId="0" fontId="1" fillId="0" borderId="0"/>
    <xf numFmtId="9" fontId="8" fillId="0" borderId="0" applyFont="0" applyFill="0" applyBorder="0" applyAlignment="0" applyProtection="0"/>
  </cellStyleXfs>
  <cellXfs count="47">
    <xf numFmtId="0" fontId="0" fillId="0" borderId="0" xfId="0"/>
    <xf numFmtId="0" fontId="0" fillId="2" borderId="0" xfId="0" applyFill="1" applyAlignment="1">
      <alignment horizontal="center" vertical="center" wrapText="1"/>
    </xf>
    <xf numFmtId="164" fontId="0" fillId="0" borderId="0" xfId="0" applyNumberFormat="1"/>
    <xf numFmtId="0" fontId="0" fillId="2" borderId="0" xfId="0" applyFill="1"/>
    <xf numFmtId="0" fontId="0" fillId="0" borderId="0" xfId="0" quotePrefix="1"/>
    <xf numFmtId="0" fontId="2" fillId="0" borderId="0" xfId="0" applyFont="1"/>
    <xf numFmtId="14" fontId="4" fillId="0" borderId="0" xfId="0" applyNumberFormat="1" applyFont="1"/>
    <xf numFmtId="0" fontId="1" fillId="0" borderId="0" xfId="2"/>
    <xf numFmtId="0" fontId="1" fillId="4" borderId="0" xfId="2" applyFill="1" applyAlignment="1">
      <alignment horizontal="center" vertical="center"/>
    </xf>
    <xf numFmtId="0" fontId="5" fillId="0" borderId="0" xfId="2" applyFont="1"/>
    <xf numFmtId="0" fontId="1" fillId="0" borderId="0" xfId="2" applyAlignment="1">
      <alignment horizontal="center" vertical="center"/>
    </xf>
    <xf numFmtId="166" fontId="7" fillId="0" borderId="0" xfId="2" applyNumberFormat="1" applyFont="1" applyAlignment="1" applyProtection="1">
      <alignment horizontal="center"/>
      <protection hidden="1"/>
    </xf>
    <xf numFmtId="14" fontId="0" fillId="0" borderId="0" xfId="0" applyNumberFormat="1" applyAlignment="1" applyProtection="1">
      <alignment horizontal="center" vertical="center"/>
      <protection hidden="1"/>
    </xf>
    <xf numFmtId="14" fontId="7" fillId="0" borderId="0" xfId="2" applyNumberFormat="1" applyFont="1" applyAlignment="1" applyProtection="1">
      <alignment horizontal="center" vertical="center"/>
      <protection hidden="1"/>
    </xf>
    <xf numFmtId="0" fontId="7" fillId="0" borderId="0" xfId="2" applyFont="1" applyAlignment="1" applyProtection="1">
      <alignment horizontal="center" vertical="center"/>
      <protection hidden="1"/>
    </xf>
    <xf numFmtId="0" fontId="6" fillId="3" borderId="1" xfId="2" applyFont="1" applyFill="1" applyBorder="1" applyAlignment="1">
      <alignment horizontal="center"/>
    </xf>
    <xf numFmtId="0" fontId="6" fillId="3" borderId="2" xfId="2" applyFont="1" applyFill="1" applyBorder="1" applyAlignment="1">
      <alignment horizontal="center"/>
    </xf>
    <xf numFmtId="0" fontId="6" fillId="3" borderId="3" xfId="2" applyFont="1" applyFill="1" applyBorder="1" applyAlignment="1">
      <alignment horizontal="center"/>
    </xf>
    <xf numFmtId="0" fontId="6" fillId="5" borderId="1" xfId="2" applyFont="1" applyFill="1" applyBorder="1" applyAlignment="1" applyProtection="1">
      <alignment horizontal="center" vertical="center" wrapText="1"/>
      <protection locked="0"/>
    </xf>
    <xf numFmtId="0" fontId="6" fillId="5" borderId="2" xfId="2" applyFont="1" applyFill="1" applyBorder="1" applyAlignment="1" applyProtection="1">
      <alignment horizontal="center" vertical="center" wrapText="1"/>
      <protection locked="0"/>
    </xf>
    <xf numFmtId="0" fontId="6" fillId="5" borderId="3" xfId="2" applyFont="1" applyFill="1" applyBorder="1" applyAlignment="1" applyProtection="1">
      <alignment horizontal="center" vertical="center" wrapText="1"/>
      <protection locked="0"/>
    </xf>
    <xf numFmtId="0" fontId="1" fillId="0" borderId="0" xfId="2" applyAlignment="1" applyProtection="1">
      <alignment horizontal="center" vertical="top" wrapText="1"/>
      <protection hidden="1"/>
    </xf>
    <xf numFmtId="0" fontId="0" fillId="0" borderId="0" xfId="0" applyAlignment="1">
      <alignment horizontal="center"/>
    </xf>
    <xf numFmtId="0" fontId="0" fillId="6" borderId="0" xfId="0" applyFill="1"/>
    <xf numFmtId="0" fontId="0" fillId="6" borderId="4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/>
    <xf numFmtId="0" fontId="0" fillId="6" borderId="4" xfId="0" applyFill="1" applyBorder="1"/>
    <xf numFmtId="0" fontId="0" fillId="6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/>
    <xf numFmtId="0" fontId="0" fillId="6" borderId="1" xfId="0" applyFill="1" applyBorder="1" applyAlignment="1">
      <alignment horizontal="center" vertical="center" wrapText="1"/>
    </xf>
    <xf numFmtId="0" fontId="0" fillId="0" borderId="1" xfId="0" applyBorder="1" applyAlignment="1"/>
    <xf numFmtId="0" fontId="2" fillId="0" borderId="4" xfId="0" applyFont="1" applyBorder="1"/>
    <xf numFmtId="0" fontId="0" fillId="0" borderId="4" xfId="0" applyBorder="1"/>
    <xf numFmtId="0" fontId="2" fillId="7" borderId="4" xfId="0" applyFont="1" applyFill="1" applyBorder="1"/>
    <xf numFmtId="0" fontId="0" fillId="7" borderId="4" xfId="0" applyFill="1" applyBorder="1"/>
    <xf numFmtId="0" fontId="0" fillId="8" borderId="4" xfId="0" applyFill="1" applyBorder="1"/>
    <xf numFmtId="2" fontId="0" fillId="0" borderId="4" xfId="0" applyNumberFormat="1" applyBorder="1"/>
    <xf numFmtId="10" fontId="0" fillId="0" borderId="4" xfId="3" applyNumberFormat="1" applyFont="1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9" fillId="9" borderId="0" xfId="0" applyFont="1" applyFill="1" applyAlignment="1">
      <alignment horizontal="center"/>
    </xf>
  </cellXfs>
  <cellStyles count="4">
    <cellStyle name="Euro" xfId="1" xr:uid="{00000000-0005-0000-0000-000000000000}"/>
    <cellStyle name="Normal" xfId="0" builtinId="0"/>
    <cellStyle name="Normal 2" xfId="2" xr:uid="{D88C87CA-ECC9-46FB-B063-5DB157CCEF8E}"/>
    <cellStyle name="Porcentaje" xfId="3" builtinId="5"/>
  </cellStyles>
  <dxfs count="4">
    <dxf>
      <font>
        <color theme="0"/>
      </font>
    </dxf>
    <dxf>
      <font>
        <b/>
        <i val="0"/>
        <color theme="1"/>
      </font>
    </dxf>
    <dxf>
      <font>
        <b/>
        <i val="0"/>
        <color theme="0"/>
      </font>
    </dxf>
    <dxf>
      <font>
        <b/>
        <i val="0"/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Importes</a:t>
            </a:r>
            <a:r>
              <a:rPr lang="en-US" sz="2000" baseline="0"/>
              <a:t> de comisiones</a:t>
            </a:r>
            <a:endParaRPr lang="en-US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20625546806649"/>
          <c:y val="0.19432888597258677"/>
          <c:w val="0.81568263342082237"/>
          <c:h val="0.648841863517060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'Ejercicio 2'!$B$2</c:f>
              <c:strCache>
                <c:ptCount val="1"/>
                <c:pt idx="0">
                  <c:v>Susana Sanchez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8.79629629629629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D95-48F1-8275-37BF2D6474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'Ejercicio 2'!$G$2</c:f>
              <c:numCache>
                <c:formatCode>_-"$"* #,##0.00_-;\-"$"* #,##0.00_-;_-"$"* "-"??_-;_-@_-</c:formatCode>
                <c:ptCount val="1"/>
                <c:pt idx="0">
                  <c:v>1100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95-48F1-8275-37BF2D6474D6}"/>
            </c:ext>
          </c:extLst>
        </c:ser>
        <c:ser>
          <c:idx val="1"/>
          <c:order val="1"/>
          <c:tx>
            <c:strRef>
              <c:f>'Ejercicio 2'!$B$3</c:f>
              <c:strCache>
                <c:ptCount val="1"/>
                <c:pt idx="0">
                  <c:v>Pedro Calvo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8.33333333333333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D95-48F1-8275-37BF2D6474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'Ejercicio 2'!$G$3</c:f>
              <c:numCache>
                <c:formatCode>_-"$"* #,##0.00_-;\-"$"* #,##0.00_-;_-"$"* "-"??_-;_-@_-</c:formatCode>
                <c:ptCount val="1"/>
                <c:pt idx="0">
                  <c:v>1050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95-48F1-8275-37BF2D6474D6}"/>
            </c:ext>
          </c:extLst>
        </c:ser>
        <c:ser>
          <c:idx val="2"/>
          <c:order val="2"/>
          <c:tx>
            <c:strRef>
              <c:f>'Ejercicio 2'!$B$4</c:f>
              <c:strCache>
                <c:ptCount val="1"/>
                <c:pt idx="0">
                  <c:v>Carlos Suarez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8.33333333333332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D95-48F1-8275-37BF2D6474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'Ejercicio 2'!$G$4</c:f>
              <c:numCache>
                <c:formatCode>_-"$"* #,##0.00_-;\-"$"* #,##0.00_-;_-"$"* "-"??_-;_-@_-</c:formatCode>
                <c:ptCount val="1"/>
                <c:pt idx="0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95-48F1-8275-37BF2D6474D6}"/>
            </c:ext>
          </c:extLst>
        </c:ser>
        <c:ser>
          <c:idx val="3"/>
          <c:order val="3"/>
          <c:tx>
            <c:strRef>
              <c:f>'Ejercicio 2'!$B$5</c:f>
              <c:strCache>
                <c:ptCount val="1"/>
                <c:pt idx="0">
                  <c:v>Hector Perez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8.33333333333332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95-48F1-8275-37BF2D6474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'Ejercicio 2'!$G$5</c:f>
              <c:numCache>
                <c:formatCode>_-"$"* #,##0.00_-;\-"$"* #,##0.00_-;_-"$"* "-"??_-;_-@_-</c:formatCode>
                <c:ptCount val="1"/>
                <c:pt idx="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95-48F1-8275-37BF2D6474D6}"/>
            </c:ext>
          </c:extLst>
        </c:ser>
        <c:ser>
          <c:idx val="4"/>
          <c:order val="4"/>
          <c:tx>
            <c:strRef>
              <c:f>'Ejercicio 2'!$B$6</c:f>
              <c:strCache>
                <c:ptCount val="1"/>
                <c:pt idx="0">
                  <c:v>Elena Noriega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7.4074074074074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95-48F1-8275-37BF2D6474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'Ejercicio 2'!$G$6</c:f>
              <c:numCache>
                <c:formatCode>_-"$"* #,##0.00_-;\-"$"* #,##0.00_-;_-"$"* "-"??_-;_-@_-</c:formatCode>
                <c:ptCount val="1"/>
                <c:pt idx="0">
                  <c:v>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95-48F1-8275-37BF2D6474D6}"/>
            </c:ext>
          </c:extLst>
        </c:ser>
        <c:ser>
          <c:idx val="5"/>
          <c:order val="5"/>
          <c:tx>
            <c:strRef>
              <c:f>'Ejercicio 2'!$B$7</c:f>
              <c:strCache>
                <c:ptCount val="1"/>
                <c:pt idx="0">
                  <c:v>Rodriguez Ana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>
              <a:outerShdw blurRad="50800" dist="50800" dir="5400000" algn="ctr" rotWithShape="0">
                <a:srgbClr val="000000"/>
              </a:outerShdw>
            </a:effectLst>
          </c:spPr>
          <c:invertIfNegative val="0"/>
          <c:dLbls>
            <c:dLbl>
              <c:idx val="0"/>
              <c:layout>
                <c:manualLayout>
                  <c:x val="0"/>
                  <c:y val="8.33333333333333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D95-48F1-8275-37BF2D6474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'Ejercicio 2'!$G$7</c:f>
              <c:numCache>
                <c:formatCode>_-"$"* #,##0.00_-;\-"$"* #,##0.00_-;_-"$"* "-"??_-;_-@_-</c:formatCode>
                <c:ptCount val="1"/>
                <c:pt idx="0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D95-48F1-8275-37BF2D647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2110736767"/>
        <c:axId val="213525407"/>
      </c:barChart>
      <c:catAx>
        <c:axId val="2110736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3525407"/>
        <c:crosses val="autoZero"/>
        <c:auto val="1"/>
        <c:lblAlgn val="ctr"/>
        <c:lblOffset val="100"/>
        <c:noMultiLvlLbl val="0"/>
      </c:catAx>
      <c:valAx>
        <c:axId val="213525407"/>
        <c:scaling>
          <c:orientation val="minMax"/>
        </c:scaling>
        <c:delete val="1"/>
        <c:axPos val="l"/>
        <c:numFmt formatCode="_-&quot;$&quot;* #,##0.00_-;\-&quot;$&quot;* #,##0.00_-;_-&quot;$&quot;* &quot;-&quot;??_-;_-@_-" sourceLinked="1"/>
        <c:majorTickMark val="none"/>
        <c:minorTickMark val="none"/>
        <c:tickLblPos val="nextTo"/>
        <c:crossAx val="2110736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3455538151320495"/>
          <c:y val="0.89409672105037874"/>
          <c:w val="0.78413526512745302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50800" dir="5400000" sx="60000" sy="60000" algn="ctr" rotWithShape="0">
        <a:schemeClr val="bg1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Ventas</a:t>
            </a:r>
            <a:r>
              <a:rPr lang="en-US" sz="2000" baseline="0"/>
              <a:t> del trimestre</a:t>
            </a:r>
            <a:endParaRPr lang="en-US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'Ejercicio 2'!$C$1</c:f>
              <c:strCache>
                <c:ptCount val="1"/>
                <c:pt idx="0">
                  <c:v>Ventas de Mayo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'Ejercicio 2'!$B$2:$B$7</c:f>
              <c:strCache>
                <c:ptCount val="6"/>
                <c:pt idx="0">
                  <c:v>Susana Sanchez</c:v>
                </c:pt>
                <c:pt idx="1">
                  <c:v>Pedro Calvo</c:v>
                </c:pt>
                <c:pt idx="2">
                  <c:v>Carlos Suarez</c:v>
                </c:pt>
                <c:pt idx="3">
                  <c:v>Hector Perez</c:v>
                </c:pt>
                <c:pt idx="4">
                  <c:v>Elena Noriega</c:v>
                </c:pt>
                <c:pt idx="5">
                  <c:v>Rodriguez Ana</c:v>
                </c:pt>
              </c:strCache>
            </c:strRef>
          </c:cat>
          <c:val>
            <c:numRef>
              <c:f>'Ejercicio 2'!$C$2:$C$7</c:f>
              <c:numCache>
                <c:formatCode>_-"$"* #,##0.00_-;\-"$"* #,##0.00_-;_-"$"* "-"??_-;_-@_-</c:formatCode>
                <c:ptCount val="6"/>
                <c:pt idx="0">
                  <c:v>7500</c:v>
                </c:pt>
                <c:pt idx="1">
                  <c:v>5500</c:v>
                </c:pt>
                <c:pt idx="2">
                  <c:v>6000</c:v>
                </c:pt>
                <c:pt idx="3">
                  <c:v>5500</c:v>
                </c:pt>
                <c:pt idx="4">
                  <c:v>4800</c:v>
                </c:pt>
                <c:pt idx="5">
                  <c:v>7900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54-42E7-A1C5-65887FC07769}"/>
            </c:ext>
          </c:extLst>
        </c:ser>
        <c:ser>
          <c:idx val="1"/>
          <c:order val="1"/>
          <c:tx>
            <c:strRef>
              <c:f>'Ejercicio 2'!$D$1</c:f>
              <c:strCache>
                <c:ptCount val="1"/>
                <c:pt idx="0">
                  <c:v>Ventas de Junio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'Ejercicio 2'!$B$2:$B$7</c:f>
              <c:strCache>
                <c:ptCount val="6"/>
                <c:pt idx="0">
                  <c:v>Susana Sanchez</c:v>
                </c:pt>
                <c:pt idx="1">
                  <c:v>Pedro Calvo</c:v>
                </c:pt>
                <c:pt idx="2">
                  <c:v>Carlos Suarez</c:v>
                </c:pt>
                <c:pt idx="3">
                  <c:v>Hector Perez</c:v>
                </c:pt>
                <c:pt idx="4">
                  <c:v>Elena Noriega</c:v>
                </c:pt>
                <c:pt idx="5">
                  <c:v>Rodriguez Ana</c:v>
                </c:pt>
              </c:strCache>
            </c:strRef>
          </c:cat>
          <c:val>
            <c:numRef>
              <c:f>'Ejercicio 2'!$D$2:$D$7</c:f>
              <c:numCache>
                <c:formatCode>_-"$"* #,##0.00_-;\-"$"* #,##0.00_-;_-"$"* "-"??_-;_-@_-</c:formatCode>
                <c:ptCount val="6"/>
                <c:pt idx="0">
                  <c:v>8000</c:v>
                </c:pt>
                <c:pt idx="1">
                  <c:v>7500</c:v>
                </c:pt>
                <c:pt idx="2">
                  <c:v>5000</c:v>
                </c:pt>
                <c:pt idx="3">
                  <c:v>8000</c:v>
                </c:pt>
                <c:pt idx="4">
                  <c:v>6800</c:v>
                </c:pt>
                <c:pt idx="5">
                  <c:v>7500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54-42E7-A1C5-65887FC07769}"/>
            </c:ext>
          </c:extLst>
        </c:ser>
        <c:ser>
          <c:idx val="2"/>
          <c:order val="2"/>
          <c:tx>
            <c:strRef>
              <c:f>'Ejercicio 2'!$E$1</c:f>
              <c:strCache>
                <c:ptCount val="1"/>
                <c:pt idx="0">
                  <c:v>Ventas de Julio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'Ejercicio 2'!$B$2:$B$7</c:f>
              <c:strCache>
                <c:ptCount val="6"/>
                <c:pt idx="0">
                  <c:v>Susana Sanchez</c:v>
                </c:pt>
                <c:pt idx="1">
                  <c:v>Pedro Calvo</c:v>
                </c:pt>
                <c:pt idx="2">
                  <c:v>Carlos Suarez</c:v>
                </c:pt>
                <c:pt idx="3">
                  <c:v>Hector Perez</c:v>
                </c:pt>
                <c:pt idx="4">
                  <c:v>Elena Noriega</c:v>
                </c:pt>
                <c:pt idx="5">
                  <c:v>Rodriguez Ana</c:v>
                </c:pt>
              </c:strCache>
            </c:strRef>
          </c:cat>
          <c:val>
            <c:numRef>
              <c:f>'Ejercicio 2'!$E$2:$E$7</c:f>
              <c:numCache>
                <c:formatCode>_-"$"* #,##0.00_-;\-"$"* #,##0.00_-;_-"$"* "-"??_-;_-@_-</c:formatCode>
                <c:ptCount val="6"/>
                <c:pt idx="0">
                  <c:v>6500</c:v>
                </c:pt>
                <c:pt idx="1">
                  <c:v>8000</c:v>
                </c:pt>
                <c:pt idx="2">
                  <c:v>9000</c:v>
                </c:pt>
                <c:pt idx="3">
                  <c:v>8000</c:v>
                </c:pt>
                <c:pt idx="4">
                  <c:v>6900</c:v>
                </c:pt>
                <c:pt idx="5">
                  <c:v>8600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54-42E7-A1C5-65887FC07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12260383"/>
        <c:axId val="225911375"/>
      </c:barChart>
      <c:catAx>
        <c:axId val="18122603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911375"/>
        <c:crosses val="autoZero"/>
        <c:auto val="1"/>
        <c:lblAlgn val="ctr"/>
        <c:lblOffset val="100"/>
        <c:noMultiLvlLbl val="0"/>
      </c:catAx>
      <c:valAx>
        <c:axId val="225911375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.00_-;\-&quot;$&quot;* #,##0.00_-;_-&quot;$&quot;* &quot;-&quot;??_-;_-@_-" sourceLinked="1"/>
        <c:majorTickMark val="none"/>
        <c:minorTickMark val="none"/>
        <c:tickLblPos val="nextTo"/>
        <c:crossAx val="181226038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tx1">
                    <a:lumMod val="50000"/>
                    <a:lumOff val="50000"/>
                  </a:schemeClr>
                </a:solidFill>
              </a:rPr>
              <a:t>VENTAS</a:t>
            </a:r>
            <a:r>
              <a:rPr lang="en-US" sz="1800" b="1" baseline="0">
                <a:solidFill>
                  <a:schemeClr val="tx1">
                    <a:lumMod val="50000"/>
                    <a:lumOff val="50000"/>
                  </a:schemeClr>
                </a:solidFill>
              </a:rPr>
              <a:t> DE CADA MES DEL TRIMESTRE</a:t>
            </a:r>
            <a:endParaRPr lang="en-US" sz="1800" b="1">
              <a:solidFill>
                <a:schemeClr val="tx1">
                  <a:lumMod val="50000"/>
                  <a:lumOff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spPr>
            <a:ln>
              <a:noFill/>
            </a:ln>
          </c:spPr>
          <c:explosion val="95"/>
          <c:dPt>
            <c:idx val="0"/>
            <c:bubble3D val="0"/>
            <c:explosion val="33"/>
            <c:spPr>
              <a:solidFill>
                <a:schemeClr val="accent2"/>
              </a:solidFill>
              <a:ln w="25400"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E63B-4A89-B22F-C9A0375699FC}"/>
              </c:ext>
            </c:extLst>
          </c:dPt>
          <c:dPt>
            <c:idx val="1"/>
            <c:bubble3D val="0"/>
            <c:explosion val="16"/>
            <c:spPr>
              <a:solidFill>
                <a:schemeClr val="accent4"/>
              </a:solidFill>
              <a:ln w="25400"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63B-4A89-B22F-C9A0375699FC}"/>
              </c:ext>
            </c:extLst>
          </c:dPt>
          <c:dPt>
            <c:idx val="2"/>
            <c:bubble3D val="0"/>
            <c:explosion val="23"/>
            <c:spPr>
              <a:solidFill>
                <a:schemeClr val="accent6"/>
              </a:solidFill>
              <a:ln w="25400"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E63B-4A89-B22F-C9A0375699FC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E63B-4A89-B22F-C9A0375699FC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E63B-4A89-B22F-C9A0375699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'Ejercicio 2'!$C$1:$E$1</c:f>
              <c:strCache>
                <c:ptCount val="3"/>
                <c:pt idx="0">
                  <c:v>Ventas de Mayo</c:v>
                </c:pt>
                <c:pt idx="1">
                  <c:v>Ventas de Junio</c:v>
                </c:pt>
                <c:pt idx="2">
                  <c:v>Ventas de Julio</c:v>
                </c:pt>
              </c:strCache>
            </c:strRef>
          </c:cat>
          <c:val>
            <c:numRef>
              <c:f>'Ejercicio 2'!$C$8:$E$8</c:f>
              <c:numCache>
                <c:formatCode>_-"$"* #,##0.00_-;\-"$"* #,##0.00_-;_-"$"* "-"??_-;_-@_-</c:formatCode>
                <c:ptCount val="3"/>
                <c:pt idx="0">
                  <c:v>37200</c:v>
                </c:pt>
                <c:pt idx="1">
                  <c:v>42800</c:v>
                </c:pt>
                <c:pt idx="2">
                  <c:v>47000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3B-4A89-B22F-C9A037569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  <a:round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i="0">
                <a:solidFill>
                  <a:schemeClr val="accent1"/>
                </a:solidFill>
              </a:rPr>
              <a:t>Contribucion</a:t>
            </a:r>
            <a:r>
              <a:rPr lang="en-US" sz="2000" i="0" baseline="0">
                <a:solidFill>
                  <a:schemeClr val="accent1"/>
                </a:solidFill>
              </a:rPr>
              <a:t> de los vendedores en cada mes</a:t>
            </a:r>
            <a:endParaRPr lang="en-US" sz="2000" i="0">
              <a:solidFill>
                <a:schemeClr val="accent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'Ejercicio 2'!$B$2</c:f>
              <c:strCache>
                <c:ptCount val="1"/>
                <c:pt idx="0">
                  <c:v>Susana Sanchez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'Ejercicio 2'!$C$1:$E$1</c:f>
              <c:strCache>
                <c:ptCount val="3"/>
                <c:pt idx="0">
                  <c:v>Ventas de Mayo</c:v>
                </c:pt>
                <c:pt idx="1">
                  <c:v>Ventas de Junio</c:v>
                </c:pt>
                <c:pt idx="2">
                  <c:v>Ventas de Julio</c:v>
                </c:pt>
              </c:strCache>
            </c:strRef>
          </c:cat>
          <c:val>
            <c:numRef>
              <c:f>'Ejercicio 2'!$C$2:$E$2</c:f>
              <c:numCache>
                <c:formatCode>_-"$"* #,##0.00_-;\-"$"* #,##0.00_-;_-"$"* "-"??_-;_-@_-</c:formatCode>
                <c:ptCount val="3"/>
                <c:pt idx="0">
                  <c:v>7500</c:v>
                </c:pt>
                <c:pt idx="1">
                  <c:v>8000</c:v>
                </c:pt>
                <c:pt idx="2">
                  <c:v>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34-4D5D-82F9-5A770E2E6778}"/>
            </c:ext>
          </c:extLst>
        </c:ser>
        <c:ser>
          <c:idx val="1"/>
          <c:order val="1"/>
          <c:tx>
            <c:strRef>
              <c:f>'Ejercicio 2'!$B$3</c:f>
              <c:strCache>
                <c:ptCount val="1"/>
                <c:pt idx="0">
                  <c:v>Pedro Calvo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'Ejercicio 2'!$C$1:$E$1</c:f>
              <c:strCache>
                <c:ptCount val="3"/>
                <c:pt idx="0">
                  <c:v>Ventas de Mayo</c:v>
                </c:pt>
                <c:pt idx="1">
                  <c:v>Ventas de Junio</c:v>
                </c:pt>
                <c:pt idx="2">
                  <c:v>Ventas de Julio</c:v>
                </c:pt>
              </c:strCache>
            </c:strRef>
          </c:cat>
          <c:val>
            <c:numRef>
              <c:f>'Ejercicio 2'!$C$3:$E$3</c:f>
              <c:numCache>
                <c:formatCode>_-"$"* #,##0.00_-;\-"$"* #,##0.00_-;_-"$"* "-"??_-;_-@_-</c:formatCode>
                <c:ptCount val="3"/>
                <c:pt idx="0">
                  <c:v>5500</c:v>
                </c:pt>
                <c:pt idx="1">
                  <c:v>7500</c:v>
                </c:pt>
                <c:pt idx="2">
                  <c:v>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34-4D5D-82F9-5A770E2E6778}"/>
            </c:ext>
          </c:extLst>
        </c:ser>
        <c:ser>
          <c:idx val="2"/>
          <c:order val="2"/>
          <c:tx>
            <c:strRef>
              <c:f>'Ejercicio 2'!$B$4</c:f>
              <c:strCache>
                <c:ptCount val="1"/>
                <c:pt idx="0">
                  <c:v>Carlos Suarez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'Ejercicio 2'!$C$1:$E$1</c:f>
              <c:strCache>
                <c:ptCount val="3"/>
                <c:pt idx="0">
                  <c:v>Ventas de Mayo</c:v>
                </c:pt>
                <c:pt idx="1">
                  <c:v>Ventas de Junio</c:v>
                </c:pt>
                <c:pt idx="2">
                  <c:v>Ventas de Julio</c:v>
                </c:pt>
              </c:strCache>
            </c:strRef>
          </c:cat>
          <c:val>
            <c:numRef>
              <c:f>'Ejercicio 2'!$C$4:$E$4</c:f>
              <c:numCache>
                <c:formatCode>_-"$"* #,##0.00_-;\-"$"* #,##0.00_-;_-"$"* "-"??_-;_-@_-</c:formatCode>
                <c:ptCount val="3"/>
                <c:pt idx="0">
                  <c:v>6000</c:v>
                </c:pt>
                <c:pt idx="1">
                  <c:v>5000</c:v>
                </c:pt>
                <c:pt idx="2">
                  <c:v>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34-4D5D-82F9-5A770E2E6778}"/>
            </c:ext>
          </c:extLst>
        </c:ser>
        <c:ser>
          <c:idx val="3"/>
          <c:order val="3"/>
          <c:tx>
            <c:strRef>
              <c:f>'Ejercicio 2'!$B$5</c:f>
              <c:strCache>
                <c:ptCount val="1"/>
                <c:pt idx="0">
                  <c:v>Hector Perez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'Ejercicio 2'!$C$1:$E$1</c:f>
              <c:strCache>
                <c:ptCount val="3"/>
                <c:pt idx="0">
                  <c:v>Ventas de Mayo</c:v>
                </c:pt>
                <c:pt idx="1">
                  <c:v>Ventas de Junio</c:v>
                </c:pt>
                <c:pt idx="2">
                  <c:v>Ventas de Julio</c:v>
                </c:pt>
              </c:strCache>
            </c:strRef>
          </c:cat>
          <c:val>
            <c:numRef>
              <c:f>'Ejercicio 2'!$C$5:$E$5</c:f>
              <c:numCache>
                <c:formatCode>_-"$"* #,##0.00_-;\-"$"* #,##0.00_-;_-"$"* "-"??_-;_-@_-</c:formatCode>
                <c:ptCount val="3"/>
                <c:pt idx="0">
                  <c:v>5500</c:v>
                </c:pt>
                <c:pt idx="1">
                  <c:v>8000</c:v>
                </c:pt>
                <c:pt idx="2">
                  <c:v>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034-4D5D-82F9-5A770E2E6778}"/>
            </c:ext>
          </c:extLst>
        </c:ser>
        <c:ser>
          <c:idx val="4"/>
          <c:order val="4"/>
          <c:tx>
            <c:strRef>
              <c:f>'Ejercicio 2'!$B$6</c:f>
              <c:strCache>
                <c:ptCount val="1"/>
                <c:pt idx="0">
                  <c:v>Elena Noriega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'Ejercicio 2'!$C$1:$E$1</c:f>
              <c:strCache>
                <c:ptCount val="3"/>
                <c:pt idx="0">
                  <c:v>Ventas de Mayo</c:v>
                </c:pt>
                <c:pt idx="1">
                  <c:v>Ventas de Junio</c:v>
                </c:pt>
                <c:pt idx="2">
                  <c:v>Ventas de Julio</c:v>
                </c:pt>
              </c:strCache>
            </c:strRef>
          </c:cat>
          <c:val>
            <c:numRef>
              <c:f>'Ejercicio 2'!$C$6:$E$6</c:f>
              <c:numCache>
                <c:formatCode>_-"$"* #,##0.00_-;\-"$"* #,##0.00_-;_-"$"* "-"??_-;_-@_-</c:formatCode>
                <c:ptCount val="3"/>
                <c:pt idx="0">
                  <c:v>4800</c:v>
                </c:pt>
                <c:pt idx="1">
                  <c:v>6800</c:v>
                </c:pt>
                <c:pt idx="2">
                  <c:v>6900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34-4D5D-82F9-5A770E2E6778}"/>
            </c:ext>
          </c:extLst>
        </c:ser>
        <c:ser>
          <c:idx val="5"/>
          <c:order val="5"/>
          <c:tx>
            <c:strRef>
              <c:f>'Ejercicio 2'!$B$7</c:f>
              <c:strCache>
                <c:ptCount val="1"/>
                <c:pt idx="0">
                  <c:v>Rodriguez Ana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'Ejercicio 2'!$C$1:$E$1</c:f>
              <c:strCache>
                <c:ptCount val="3"/>
                <c:pt idx="0">
                  <c:v>Ventas de Mayo</c:v>
                </c:pt>
                <c:pt idx="1">
                  <c:v>Ventas de Junio</c:v>
                </c:pt>
                <c:pt idx="2">
                  <c:v>Ventas de Julio</c:v>
                </c:pt>
              </c:strCache>
            </c:strRef>
          </c:cat>
          <c:val>
            <c:numRef>
              <c:f>'Ejercicio 2'!$C$7:$E$7</c:f>
              <c:numCache>
                <c:formatCode>_-"$"* #,##0.00_-;\-"$"* #,##0.00_-;_-"$"* "-"??_-;_-@_-</c:formatCode>
                <c:ptCount val="3"/>
                <c:pt idx="0">
                  <c:v>7900</c:v>
                </c:pt>
                <c:pt idx="1">
                  <c:v>7500</c:v>
                </c:pt>
                <c:pt idx="2">
                  <c:v>8600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034-4D5D-82F9-5A770E2E6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6781023"/>
        <c:axId val="274158239"/>
      </c:barChart>
      <c:catAx>
        <c:axId val="176781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158239"/>
        <c:crosses val="autoZero"/>
        <c:auto val="1"/>
        <c:lblAlgn val="ctr"/>
        <c:lblOffset val="100"/>
        <c:noMultiLvlLbl val="0"/>
      </c:catAx>
      <c:valAx>
        <c:axId val="27415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.00_-;\-&quot;$&quot;* #,##0.0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81023"/>
        <c:crosses val="autoZero"/>
        <c:crossBetween val="between"/>
        <c:majorUnit val="1000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64339806578095"/>
          <c:y val="0.91094838882449503"/>
          <c:w val="0.65441865707077118"/>
          <c:h val="8.90515137414730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Alumnos</a:t>
            </a:r>
            <a:r>
              <a:rPr lang="en-US" sz="2000" b="1" baseline="0"/>
              <a:t> de cada año, por turno</a:t>
            </a:r>
            <a:endParaRPr lang="en-US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'Ejercicio 3'!$B$3:$H$3</c:f>
              <c:numCache>
                <c:formatCode>General</c:formatCode>
                <c:ptCount val="7"/>
                <c:pt idx="0">
                  <c:v>800</c:v>
                </c:pt>
                <c:pt idx="1">
                  <c:v>1200</c:v>
                </c:pt>
                <c:pt idx="2">
                  <c:v>1600</c:v>
                </c:pt>
                <c:pt idx="3">
                  <c:v>1900</c:v>
                </c:pt>
                <c:pt idx="4">
                  <c:v>2150</c:v>
                </c:pt>
                <c:pt idx="5">
                  <c:v>1900</c:v>
                </c:pt>
                <c:pt idx="6">
                  <c:v>2250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0-DB5F-4A46-A2FC-8C38E6A469A0}"/>
            </c:ext>
          </c:extLst>
        </c:ser>
        <c:ser>
          <c:idx val="1"/>
          <c:order val="1"/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'Ejercicio 3'!$B$4:$H$4</c:f>
              <c:numCache>
                <c:formatCode>General</c:formatCode>
                <c:ptCount val="7"/>
                <c:pt idx="0">
                  <c:v>700</c:v>
                </c:pt>
                <c:pt idx="1">
                  <c:v>1100</c:v>
                </c:pt>
                <c:pt idx="2">
                  <c:v>1300</c:v>
                </c:pt>
                <c:pt idx="3">
                  <c:v>1200</c:v>
                </c:pt>
                <c:pt idx="4">
                  <c:v>1100</c:v>
                </c:pt>
                <c:pt idx="5">
                  <c:v>1400</c:v>
                </c:pt>
                <c:pt idx="6">
                  <c:v>1500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1-DB5F-4A46-A2FC-8C38E6A469A0}"/>
            </c:ext>
          </c:extLst>
        </c:ser>
        <c:ser>
          <c:idx val="2"/>
          <c:order val="2"/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'Ejercicio 3'!$B$5:$H$5</c:f>
              <c:numCache>
                <c:formatCode>General</c:formatCode>
                <c:ptCount val="7"/>
                <c:pt idx="0">
                  <c:v>900</c:v>
                </c:pt>
                <c:pt idx="1">
                  <c:v>1250</c:v>
                </c:pt>
                <c:pt idx="2">
                  <c:v>1500</c:v>
                </c:pt>
                <c:pt idx="3">
                  <c:v>1800</c:v>
                </c:pt>
                <c:pt idx="4">
                  <c:v>2100</c:v>
                </c:pt>
                <c:pt idx="5">
                  <c:v>2300</c:v>
                </c:pt>
                <c:pt idx="6">
                  <c:v>2500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2-DB5F-4A46-A2FC-8C38E6A46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221131935"/>
        <c:axId val="276182223"/>
        <c:axId val="0"/>
      </c:bar3DChart>
      <c:catAx>
        <c:axId val="12211319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182223"/>
        <c:crosses val="autoZero"/>
        <c:auto val="1"/>
        <c:lblAlgn val="ctr"/>
        <c:lblOffset val="100"/>
        <c:noMultiLvlLbl val="0"/>
      </c:catAx>
      <c:valAx>
        <c:axId val="27618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1131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14288</xdr:colOff>
      <xdr:row>11</xdr:row>
      <xdr:rowOff>147637</xdr:rowOff>
    </xdr:from>
    <xdr:to>
      <xdr:col>10</xdr:col>
      <xdr:colOff>561975</xdr:colOff>
      <xdr:row>31</xdr:row>
      <xdr:rowOff>123825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5F08504-14A8-7567-DBCE-49831C9997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23812</xdr:colOff>
      <xdr:row>33</xdr:row>
      <xdr:rowOff>61912</xdr:rowOff>
    </xdr:from>
    <xdr:to>
      <xdr:col>10</xdr:col>
      <xdr:colOff>542925</xdr:colOff>
      <xdr:row>50</xdr:row>
      <xdr:rowOff>52387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974FC49-0D61-1BD0-6675-D39025BF35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195263</xdr:colOff>
      <xdr:row>52</xdr:row>
      <xdr:rowOff>157162</xdr:rowOff>
    </xdr:from>
    <xdr:to>
      <xdr:col>6</xdr:col>
      <xdr:colOff>504826</xdr:colOff>
      <xdr:row>73</xdr:row>
      <xdr:rowOff>142875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38410D2-76E5-53DF-E828-65A93BDDE4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157161</xdr:colOff>
      <xdr:row>76</xdr:row>
      <xdr:rowOff>80960</xdr:rowOff>
    </xdr:from>
    <xdr:to>
      <xdr:col>7</xdr:col>
      <xdr:colOff>333375</xdr:colOff>
      <xdr:row>98</xdr:row>
      <xdr:rowOff>47625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FDEF5018-2A9C-B499-696A-083EE5F7DF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8</xdr:row>
      <xdr:rowOff>42861</xdr:rowOff>
    </xdr:from>
    <xdr:to>
      <xdr:col>8</xdr:col>
      <xdr:colOff>133350</xdr:colOff>
      <xdr:row>33</xdr:row>
      <xdr:rowOff>28575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CF183EC-9D3F-99C9-2FC0-EECA5C2D39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2D64A-C607-483D-9F92-89C81AC0588D}">
  <dimension ref="A1:RAI1913"/>
  <sheetViews>
    <sheetView zoomScale="175" zoomScaleNormal="175" workbookViewId="0">
      <selection activeCell="A3" sqref="A3:D6"/>
    </sheetView>
  </sheetViews>
  <sheetFormatPr baseColWidth="10" defaultRowHeight="15" x14ac:dyDescent="0.25"/>
  <cols>
    <col min="1" max="1" width="15.7109375" style="7" bestFit="1" customWidth="1"/>
    <col min="2" max="235" width="15.7109375" style="7" customWidth="1"/>
    <col min="236" max="237" width="11.5703125" style="7"/>
    <col min="238" max="238" width="67.42578125" style="7" bestFit="1" customWidth="1"/>
    <col min="239" max="239" width="12.140625" style="7" bestFit="1" customWidth="1"/>
    <col min="240" max="12201" width="11.5703125" style="7"/>
    <col min="12202" max="12202" width="39.5703125" style="7" customWidth="1"/>
    <col min="12203" max="12203" width="13" style="7" customWidth="1"/>
    <col min="12204" max="16384" width="11.5703125" style="7"/>
  </cols>
  <sheetData>
    <row r="1" spans="1:4" x14ac:dyDescent="0.25">
      <c r="A1" s="15" t="s">
        <v>51</v>
      </c>
      <c r="B1" s="16"/>
      <c r="C1" s="16"/>
      <c r="D1" s="17"/>
    </row>
    <row r="2" spans="1:4" x14ac:dyDescent="0.25">
      <c r="A2" s="8" t="s">
        <v>52</v>
      </c>
      <c r="B2" s="15" t="s">
        <v>53</v>
      </c>
      <c r="C2" s="16"/>
      <c r="D2" s="17"/>
    </row>
    <row r="3" spans="1:4" x14ac:dyDescent="0.25">
      <c r="A3" s="18"/>
      <c r="B3" s="19"/>
      <c r="C3" s="19"/>
      <c r="D3" s="20"/>
    </row>
    <row r="4" spans="1:4" x14ac:dyDescent="0.25">
      <c r="A4" s="18"/>
      <c r="B4" s="19"/>
      <c r="C4" s="19"/>
      <c r="D4" s="20"/>
    </row>
    <row r="5" spans="1:4" x14ac:dyDescent="0.25">
      <c r="A5" s="18"/>
      <c r="B5" s="19"/>
      <c r="C5" s="19"/>
      <c r="D5" s="20"/>
    </row>
    <row r="6" spans="1:4" x14ac:dyDescent="0.25">
      <c r="A6" s="18"/>
      <c r="B6" s="19"/>
      <c r="C6" s="19"/>
      <c r="D6" s="20"/>
    </row>
    <row r="190" spans="237:239" x14ac:dyDescent="0.25">
      <c r="IC190" s="9"/>
      <c r="IE190" s="9"/>
    </row>
    <row r="192" spans="237:239" ht="14.45" customHeight="1" x14ac:dyDescent="0.25"/>
    <row r="202" spans="238:238" x14ac:dyDescent="0.25">
      <c r="ID202" s="10"/>
    </row>
    <row r="1900" spans="12201:12203" x14ac:dyDescent="0.25">
      <c r="RAH1900" s="11" t="s">
        <v>54</v>
      </c>
    </row>
    <row r="1901" spans="12201:12203" x14ac:dyDescent="0.25">
      <c r="RAH1901" s="12" t="str">
        <f ca="1">IF(RAH1901=0,IF('Ejercicio 1'!F5="a)",0,TEXT(NOW(),"dd/mm/aaaa")&amp;"  a las  "&amp;TEXT(NOW(),"hh:mm:ss")),RAH1901)</f>
        <v>19/02/Monday  a las  10:37:43</v>
      </c>
    </row>
    <row r="1903" spans="12201:12203" x14ac:dyDescent="0.25">
      <c r="RAG1903" s="13">
        <f ca="1">IF(A3=RAI1904,RAG1903,NOW())</f>
        <v>45158.548069444441</v>
      </c>
      <c r="RAH1903" s="11" t="s">
        <v>55</v>
      </c>
      <c r="RAI1903" s="14" t="s">
        <v>56</v>
      </c>
    </row>
    <row r="1904" spans="12201:12203" x14ac:dyDescent="0.25">
      <c r="RAG1904" s="14"/>
      <c r="RAH1904" s="21">
        <f ca="1">IF(RAG1903=0,"-",IF(A3=RAI1904,RAH1904,RAH1904&amp;"👉  "&amp;TEXT(RAG1903,"dd/mm/aaaa hh:mm:ss")&amp;".-- "&amp;" --&gt;  "&amp;"("&amp;A3&amp;")"))</f>
        <v>0</v>
      </c>
      <c r="RAI1904" s="14">
        <f ca="1">IF(A3=RAI1904,RAI1904,A3)</f>
        <v>0</v>
      </c>
    </row>
    <row r="1905" spans="12201:12203" x14ac:dyDescent="0.25">
      <c r="RAG1905" s="14"/>
      <c r="RAH1905" s="21"/>
      <c r="RAI1905" s="14"/>
    </row>
    <row r="1906" spans="12201:12203" x14ac:dyDescent="0.25">
      <c r="RAG1906" s="14"/>
      <c r="RAH1906" s="21"/>
      <c r="RAI1906" s="14"/>
    </row>
    <row r="1907" spans="12201:12203" x14ac:dyDescent="0.25">
      <c r="RAG1907" s="14"/>
      <c r="RAH1907" s="21"/>
      <c r="RAI1907" s="14"/>
    </row>
    <row r="1908" spans="12201:12203" x14ac:dyDescent="0.25">
      <c r="RAG1908" s="14"/>
      <c r="RAH1908" s="21"/>
      <c r="RAI1908" s="14"/>
    </row>
    <row r="1909" spans="12201:12203" x14ac:dyDescent="0.25">
      <c r="RAG1909" s="14"/>
      <c r="RAH1909" s="21"/>
      <c r="RAI1909" s="14"/>
    </row>
    <row r="1910" spans="12201:12203" x14ac:dyDescent="0.25">
      <c r="RAG1910" s="14"/>
      <c r="RAH1910" s="21"/>
      <c r="RAI1910" s="14"/>
    </row>
    <row r="1911" spans="12201:12203" x14ac:dyDescent="0.25">
      <c r="RAG1911" s="14"/>
      <c r="RAH1911" s="21"/>
      <c r="RAI1911" s="14"/>
    </row>
    <row r="1912" spans="12201:12203" x14ac:dyDescent="0.25">
      <c r="RAG1912" s="14"/>
      <c r="RAH1912" s="21"/>
      <c r="RAI1912" s="14"/>
    </row>
    <row r="1913" spans="12201:12203" x14ac:dyDescent="0.25">
      <c r="RAG1913" s="14"/>
      <c r="RAH1913" s="21"/>
      <c r="RAI1913" s="14"/>
    </row>
  </sheetData>
  <sheetProtection algorithmName="SHA-512" hashValue="PYRnb8b4jnBCE/MP21bi5oYNBG9UkCyu70b+PWQhYyDtrf4hjlXpuLmEXsF0f5S4iNyUaHh33rS9zH/Wvcx0Wg==" saltValue="7v6SdFdsVuMRNcJVW1AsxQ==" spinCount="100000" sheet="1" objects="1" scenarios="1" selectLockedCells="1"/>
  <mergeCells count="4">
    <mergeCell ref="A1:D1"/>
    <mergeCell ref="B2:D2"/>
    <mergeCell ref="A3:D6"/>
    <mergeCell ref="RAH1904:RAH1913"/>
  </mergeCells>
  <conditionalFormatting sqref="RAH1900">
    <cfRule type="expression" dxfId="3" priority="2">
      <formula>$RAH$1901&lt;&gt;0</formula>
    </cfRule>
  </conditionalFormatting>
  <conditionalFormatting sqref="RAH1901">
    <cfRule type="cellIs" dxfId="2" priority="3" operator="equal">
      <formula>0</formula>
    </cfRule>
  </conditionalFormatting>
  <conditionalFormatting sqref="RAH1903">
    <cfRule type="expression" dxfId="1" priority="1">
      <formula>$RAH$1904&lt;&gt;0</formula>
    </cfRule>
  </conditionalFormatting>
  <conditionalFormatting sqref="RAH1904:RAH1913">
    <cfRule type="cellIs" dxfId="0" priority="4" operator="equal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indexed="51"/>
  </sheetPr>
  <dimension ref="A1:IV65536"/>
  <sheetViews>
    <sheetView workbookViewId="0">
      <selection activeCell="F23" sqref="F23"/>
    </sheetView>
  </sheetViews>
  <sheetFormatPr baseColWidth="10" defaultColWidth="11.42578125" defaultRowHeight="12.75" x14ac:dyDescent="0.2"/>
  <cols>
    <col min="1" max="1" width="15.42578125" customWidth="1"/>
    <col min="2" max="2" width="9.42578125" customWidth="1"/>
    <col min="3" max="3" width="8.140625" customWidth="1"/>
    <col min="4" max="4" width="7.42578125" customWidth="1"/>
    <col min="5" max="6" width="9.7109375" customWidth="1"/>
    <col min="7" max="7" width="11.42578125" customWidth="1"/>
    <col min="9" max="9" width="11.140625" customWidth="1"/>
    <col min="10" max="10" width="12.85546875" customWidth="1"/>
    <col min="11" max="11" width="12.28515625" customWidth="1"/>
    <col min="12" max="12" width="9.5703125" customWidth="1"/>
  </cols>
  <sheetData>
    <row r="1" spans="1:12" ht="13.5" thickBot="1" x14ac:dyDescent="0.25">
      <c r="A1" s="23" t="s">
        <v>0</v>
      </c>
      <c r="B1" s="23"/>
      <c r="C1" s="23"/>
      <c r="E1" s="45">
        <v>32</v>
      </c>
      <c r="F1" s="44"/>
    </row>
    <row r="3" spans="1:12" ht="33.75" customHeight="1" x14ac:dyDescent="0.2">
      <c r="A3" s="28" t="s">
        <v>1</v>
      </c>
      <c r="B3" s="30" t="s">
        <v>2</v>
      </c>
      <c r="C3" s="29"/>
      <c r="D3" s="26"/>
      <c r="E3" s="28" t="s">
        <v>3</v>
      </c>
      <c r="F3" s="29"/>
      <c r="G3" s="24" t="s">
        <v>4</v>
      </c>
      <c r="H3" s="24" t="s">
        <v>5</v>
      </c>
      <c r="I3" s="24" t="s">
        <v>6</v>
      </c>
      <c r="J3" s="34" t="s">
        <v>7</v>
      </c>
      <c r="K3" s="24" t="s">
        <v>8</v>
      </c>
      <c r="L3" s="32"/>
    </row>
    <row r="4" spans="1:12" ht="13.5" customHeight="1" x14ac:dyDescent="0.2">
      <c r="A4" s="29"/>
      <c r="B4" s="31" t="s">
        <v>9</v>
      </c>
      <c r="C4" s="31" t="s">
        <v>10</v>
      </c>
      <c r="D4" s="31" t="s">
        <v>11</v>
      </c>
      <c r="E4" s="27" t="s">
        <v>12</v>
      </c>
      <c r="F4" s="27" t="s">
        <v>13</v>
      </c>
      <c r="G4" s="25"/>
      <c r="H4" s="26"/>
      <c r="I4" s="26"/>
      <c r="J4" s="35"/>
      <c r="K4" s="26"/>
      <c r="L4" s="33"/>
    </row>
    <row r="5" spans="1:12" x14ac:dyDescent="0.2">
      <c r="A5" s="38" t="s">
        <v>14</v>
      </c>
      <c r="B5" s="37">
        <v>4</v>
      </c>
      <c r="C5" s="37">
        <v>6</v>
      </c>
      <c r="D5" s="37">
        <v>6</v>
      </c>
      <c r="E5" s="40">
        <v>6</v>
      </c>
      <c r="F5" s="42">
        <f>E5/E$1</f>
        <v>0.1875</v>
      </c>
      <c r="G5" s="41">
        <f>AVERAGE(B5,C5)</f>
        <v>5</v>
      </c>
      <c r="H5" s="37" t="str">
        <f>IF(D5&gt;4,"APROBADO","")</f>
        <v>APROBADO</v>
      </c>
      <c r="I5" s="36" t="str">
        <f>IF(AND(G5&gt;8,E5&lt;4),"BECADO","")</f>
        <v/>
      </c>
      <c r="J5" s="37" t="str">
        <f>IF(OR(B5&lt;4,C5&lt;4,E5&gt;6),"APERCIBIR","")</f>
        <v/>
      </c>
      <c r="K5" s="37" t="str">
        <f>IF(AND(B5&gt;=7,C5&gt;=7,D5&gt;=7),"PROMOVIDO","")</f>
        <v/>
      </c>
    </row>
    <row r="6" spans="1:12" x14ac:dyDescent="0.2">
      <c r="A6" s="39" t="s">
        <v>15</v>
      </c>
      <c r="B6" s="37">
        <v>8</v>
      </c>
      <c r="C6" s="37">
        <v>8</v>
      </c>
      <c r="D6" s="37">
        <v>10</v>
      </c>
      <c r="E6" s="37">
        <v>3</v>
      </c>
      <c r="F6" s="42">
        <f t="shared" ref="F6:F15" si="0">E6/E$1</f>
        <v>9.375E-2</v>
      </c>
      <c r="G6" s="41">
        <f t="shared" ref="G6:G15" si="1">AVERAGE(B6,C6)</f>
        <v>8</v>
      </c>
      <c r="H6" s="37" t="str">
        <f t="shared" ref="H6:H15" si="2">IF(D6&gt;4,"APROBADO","")</f>
        <v>APROBADO</v>
      </c>
      <c r="I6" s="36" t="str">
        <f t="shared" ref="I6:I15" si="3">IF(AND(G6&gt;8,E6&lt;4),"BECADO","")</f>
        <v/>
      </c>
      <c r="J6" s="37" t="str">
        <f t="shared" ref="J6:J15" si="4">IF(OR(B6&lt;4,C6&lt;4,E6&gt;6),"APERCIBIR","")</f>
        <v/>
      </c>
      <c r="K6" s="37" t="str">
        <f t="shared" ref="K6:K15" si="5">IF(AND(B6&gt;=7,C6&gt;=7,D6&gt;=7),"PROMOVIDO","")</f>
        <v>PROMOVIDO</v>
      </c>
    </row>
    <row r="7" spans="1:12" x14ac:dyDescent="0.2">
      <c r="A7" s="39" t="s">
        <v>16</v>
      </c>
      <c r="B7" s="37">
        <v>9</v>
      </c>
      <c r="C7" s="37">
        <v>8</v>
      </c>
      <c r="D7" s="37">
        <v>6</v>
      </c>
      <c r="E7" s="37">
        <v>2</v>
      </c>
      <c r="F7" s="42">
        <f t="shared" si="0"/>
        <v>6.25E-2</v>
      </c>
      <c r="G7" s="41">
        <f t="shared" si="1"/>
        <v>8.5</v>
      </c>
      <c r="H7" s="37" t="str">
        <f t="shared" si="2"/>
        <v>APROBADO</v>
      </c>
      <c r="I7" s="36" t="str">
        <f t="shared" si="3"/>
        <v>BECADO</v>
      </c>
      <c r="J7" s="37" t="str">
        <f t="shared" si="4"/>
        <v/>
      </c>
      <c r="K7" s="37" t="str">
        <f t="shared" si="5"/>
        <v/>
      </c>
    </row>
    <row r="8" spans="1:12" x14ac:dyDescent="0.2">
      <c r="A8" s="39" t="s">
        <v>17</v>
      </c>
      <c r="B8" s="37">
        <v>6</v>
      </c>
      <c r="C8" s="37">
        <v>6</v>
      </c>
      <c r="D8" s="37">
        <v>6</v>
      </c>
      <c r="E8" s="40">
        <v>7</v>
      </c>
      <c r="F8" s="42">
        <f t="shared" si="0"/>
        <v>0.21875</v>
      </c>
      <c r="G8" s="41">
        <f t="shared" si="1"/>
        <v>6</v>
      </c>
      <c r="H8" s="37" t="str">
        <f t="shared" si="2"/>
        <v>APROBADO</v>
      </c>
      <c r="I8" s="36" t="str">
        <f t="shared" si="3"/>
        <v/>
      </c>
      <c r="J8" s="37" t="str">
        <f t="shared" si="4"/>
        <v>APERCIBIR</v>
      </c>
      <c r="K8" s="37" t="str">
        <f t="shared" si="5"/>
        <v/>
      </c>
    </row>
    <row r="9" spans="1:12" x14ac:dyDescent="0.2">
      <c r="A9" s="39" t="s">
        <v>18</v>
      </c>
      <c r="B9" s="37">
        <v>4</v>
      </c>
      <c r="C9" s="40">
        <v>3</v>
      </c>
      <c r="D9" s="40">
        <v>3</v>
      </c>
      <c r="E9" s="37">
        <v>2</v>
      </c>
      <c r="F9" s="42">
        <f t="shared" si="0"/>
        <v>6.25E-2</v>
      </c>
      <c r="G9" s="41">
        <f t="shared" si="1"/>
        <v>3.5</v>
      </c>
      <c r="H9" s="37" t="str">
        <f t="shared" si="2"/>
        <v/>
      </c>
      <c r="I9" s="36" t="str">
        <f t="shared" si="3"/>
        <v/>
      </c>
      <c r="J9" s="37" t="str">
        <f t="shared" si="4"/>
        <v>APERCIBIR</v>
      </c>
      <c r="K9" s="37" t="str">
        <f t="shared" si="5"/>
        <v/>
      </c>
    </row>
    <row r="10" spans="1:12" x14ac:dyDescent="0.2">
      <c r="A10" s="39" t="s">
        <v>19</v>
      </c>
      <c r="B10" s="40">
        <v>3</v>
      </c>
      <c r="C10" s="37">
        <v>6</v>
      </c>
      <c r="D10" s="40">
        <v>3</v>
      </c>
      <c r="E10" s="40">
        <v>6</v>
      </c>
      <c r="F10" s="42">
        <f t="shared" si="0"/>
        <v>0.1875</v>
      </c>
      <c r="G10" s="41">
        <f t="shared" si="1"/>
        <v>4.5</v>
      </c>
      <c r="H10" s="37" t="str">
        <f t="shared" si="2"/>
        <v/>
      </c>
      <c r="I10" s="36" t="str">
        <f t="shared" si="3"/>
        <v/>
      </c>
      <c r="J10" s="37" t="str">
        <f t="shared" si="4"/>
        <v>APERCIBIR</v>
      </c>
      <c r="K10" s="37" t="str">
        <f t="shared" si="5"/>
        <v/>
      </c>
    </row>
    <row r="11" spans="1:12" x14ac:dyDescent="0.2">
      <c r="A11" s="39" t="s">
        <v>20</v>
      </c>
      <c r="B11" s="37">
        <v>9</v>
      </c>
      <c r="C11" s="37">
        <v>9</v>
      </c>
      <c r="D11" s="37">
        <v>9</v>
      </c>
      <c r="E11" s="40">
        <v>8</v>
      </c>
      <c r="F11" s="42">
        <f t="shared" si="0"/>
        <v>0.25</v>
      </c>
      <c r="G11" s="41">
        <f t="shared" si="1"/>
        <v>9</v>
      </c>
      <c r="H11" s="37" t="str">
        <f t="shared" si="2"/>
        <v>APROBADO</v>
      </c>
      <c r="I11" s="36" t="str">
        <f t="shared" si="3"/>
        <v/>
      </c>
      <c r="J11" s="37" t="str">
        <f t="shared" si="4"/>
        <v>APERCIBIR</v>
      </c>
      <c r="K11" s="37" t="str">
        <f t="shared" si="5"/>
        <v>PROMOVIDO</v>
      </c>
    </row>
    <row r="12" spans="1:12" x14ac:dyDescent="0.2">
      <c r="A12" s="39" t="s">
        <v>21</v>
      </c>
      <c r="B12" s="37">
        <v>6</v>
      </c>
      <c r="C12" s="40">
        <v>3</v>
      </c>
      <c r="D12" s="37">
        <v>6</v>
      </c>
      <c r="E12" s="40">
        <v>6</v>
      </c>
      <c r="F12" s="42">
        <f t="shared" si="0"/>
        <v>0.1875</v>
      </c>
      <c r="G12" s="41">
        <f t="shared" si="1"/>
        <v>4.5</v>
      </c>
      <c r="H12" s="37" t="str">
        <f t="shared" si="2"/>
        <v>APROBADO</v>
      </c>
      <c r="I12" s="36" t="str">
        <f t="shared" si="3"/>
        <v/>
      </c>
      <c r="J12" s="37" t="str">
        <f t="shared" si="4"/>
        <v>APERCIBIR</v>
      </c>
      <c r="K12" s="37" t="str">
        <f t="shared" si="5"/>
        <v/>
      </c>
    </row>
    <row r="13" spans="1:12" x14ac:dyDescent="0.2">
      <c r="A13" s="39" t="s">
        <v>22</v>
      </c>
      <c r="B13" s="37">
        <v>9</v>
      </c>
      <c r="C13" s="37">
        <v>9</v>
      </c>
      <c r="D13" s="37">
        <v>8</v>
      </c>
      <c r="E13" s="37">
        <v>3</v>
      </c>
      <c r="F13" s="42">
        <f t="shared" si="0"/>
        <v>9.375E-2</v>
      </c>
      <c r="G13" s="41">
        <f t="shared" si="1"/>
        <v>9</v>
      </c>
      <c r="H13" s="37" t="str">
        <f t="shared" si="2"/>
        <v>APROBADO</v>
      </c>
      <c r="I13" s="36" t="str">
        <f t="shared" si="3"/>
        <v>BECADO</v>
      </c>
      <c r="J13" s="37" t="str">
        <f t="shared" si="4"/>
        <v/>
      </c>
      <c r="K13" s="37" t="str">
        <f t="shared" si="5"/>
        <v>PROMOVIDO</v>
      </c>
    </row>
    <row r="14" spans="1:12" x14ac:dyDescent="0.2">
      <c r="A14" s="39" t="s">
        <v>23</v>
      </c>
      <c r="B14" s="37">
        <v>8</v>
      </c>
      <c r="C14" s="37">
        <v>8</v>
      </c>
      <c r="D14" s="40">
        <v>3</v>
      </c>
      <c r="E14" s="40">
        <v>6</v>
      </c>
      <c r="F14" s="42">
        <f t="shared" si="0"/>
        <v>0.1875</v>
      </c>
      <c r="G14" s="41">
        <f t="shared" si="1"/>
        <v>8</v>
      </c>
      <c r="H14" s="37" t="str">
        <f t="shared" si="2"/>
        <v/>
      </c>
      <c r="I14" s="36" t="str">
        <f t="shared" si="3"/>
        <v/>
      </c>
      <c r="J14" s="37" t="str">
        <f t="shared" si="4"/>
        <v/>
      </c>
      <c r="K14" s="37" t="str">
        <f t="shared" si="5"/>
        <v/>
      </c>
    </row>
    <row r="15" spans="1:12" x14ac:dyDescent="0.2">
      <c r="A15" s="39" t="s">
        <v>24</v>
      </c>
      <c r="B15" s="37">
        <v>6</v>
      </c>
      <c r="C15" s="37">
        <v>6</v>
      </c>
      <c r="D15" s="37">
        <v>6</v>
      </c>
      <c r="E15" s="37">
        <v>0</v>
      </c>
      <c r="F15" s="42">
        <f t="shared" si="0"/>
        <v>0</v>
      </c>
      <c r="G15" s="41">
        <f t="shared" si="1"/>
        <v>6</v>
      </c>
      <c r="H15" s="37" t="str">
        <f t="shared" si="2"/>
        <v>APROBADO</v>
      </c>
      <c r="I15" s="36" t="str">
        <f t="shared" si="3"/>
        <v/>
      </c>
      <c r="J15" s="37" t="str">
        <f t="shared" si="4"/>
        <v/>
      </c>
      <c r="K15" s="37" t="str">
        <f t="shared" si="5"/>
        <v/>
      </c>
    </row>
    <row r="28" spans="7:7" x14ac:dyDescent="0.2">
      <c r="G28" s="43"/>
    </row>
    <row r="100" spans="1:1" x14ac:dyDescent="0.2">
      <c r="A100" s="6">
        <v>41730</v>
      </c>
    </row>
    <row r="65536" spans="256:256" x14ac:dyDescent="0.2">
      <c r="IV65536" s="4" t="s">
        <v>25</v>
      </c>
    </row>
  </sheetData>
  <mergeCells count="8">
    <mergeCell ref="K3:K4"/>
    <mergeCell ref="E3:F3"/>
    <mergeCell ref="G3:G4"/>
    <mergeCell ref="A3:A4"/>
    <mergeCell ref="B3:D3"/>
    <mergeCell ref="H3:H4"/>
    <mergeCell ref="I3:I4"/>
    <mergeCell ref="J3:J4"/>
  </mergeCells>
  <phoneticPr fontId="3" type="noConversion"/>
  <pageMargins left="0.75" right="0.75" top="1" bottom="1" header="0" footer="0"/>
  <pageSetup paperSize="9" orientation="portrait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indexed="13"/>
  </sheetPr>
  <dimension ref="A1:IV65536"/>
  <sheetViews>
    <sheetView topLeftCell="A80" workbookViewId="0">
      <selection activeCell="D108" sqref="D108"/>
    </sheetView>
  </sheetViews>
  <sheetFormatPr baseColWidth="10" defaultColWidth="11.42578125" defaultRowHeight="12.75" x14ac:dyDescent="0.2"/>
  <cols>
    <col min="1" max="1" width="8.7109375" customWidth="1"/>
    <col min="2" max="2" width="15.28515625" customWidth="1"/>
    <col min="6" max="6" width="13.140625" customWidth="1"/>
  </cols>
  <sheetData>
    <row r="1" spans="1:7" ht="25.5" x14ac:dyDescent="0.2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</row>
    <row r="2" spans="1:7" x14ac:dyDescent="0.2">
      <c r="A2">
        <v>3311</v>
      </c>
      <c r="B2" t="s">
        <v>20</v>
      </c>
      <c r="C2" s="2">
        <v>7500</v>
      </c>
      <c r="D2" s="2">
        <v>8000</v>
      </c>
      <c r="E2" s="2">
        <v>6500</v>
      </c>
      <c r="F2" s="2">
        <f t="shared" ref="F2:F7" si="0">SUM(C2:E2)</f>
        <v>22000</v>
      </c>
      <c r="G2" s="2">
        <f>F2*5%</f>
        <v>1100</v>
      </c>
    </row>
    <row r="3" spans="1:7" x14ac:dyDescent="0.2">
      <c r="A3">
        <v>725</v>
      </c>
      <c r="B3" t="s">
        <v>21</v>
      </c>
      <c r="C3" s="2">
        <v>5500</v>
      </c>
      <c r="D3" s="2">
        <v>7500</v>
      </c>
      <c r="E3" s="2">
        <v>8000</v>
      </c>
      <c r="F3" s="2">
        <f t="shared" si="0"/>
        <v>21000</v>
      </c>
      <c r="G3" s="2">
        <f t="shared" ref="G3:G8" si="1">F3*5%</f>
        <v>1050</v>
      </c>
    </row>
    <row r="4" spans="1:7" x14ac:dyDescent="0.2">
      <c r="A4">
        <v>231</v>
      </c>
      <c r="B4" t="s">
        <v>22</v>
      </c>
      <c r="C4" s="2">
        <v>6000</v>
      </c>
      <c r="D4" s="2">
        <v>5000</v>
      </c>
      <c r="E4" s="2">
        <v>9000</v>
      </c>
      <c r="F4" s="2">
        <f t="shared" si="0"/>
        <v>20000</v>
      </c>
      <c r="G4" s="2">
        <f t="shared" si="1"/>
        <v>1000</v>
      </c>
    </row>
    <row r="5" spans="1:7" x14ac:dyDescent="0.2">
      <c r="A5">
        <v>564</v>
      </c>
      <c r="B5" t="s">
        <v>23</v>
      </c>
      <c r="C5" s="2">
        <v>5500</v>
      </c>
      <c r="D5" s="2">
        <v>8000</v>
      </c>
      <c r="E5" s="2">
        <v>8000</v>
      </c>
      <c r="F5" s="2">
        <f t="shared" si="0"/>
        <v>21500</v>
      </c>
      <c r="G5" s="2">
        <f t="shared" si="1"/>
        <v>1075</v>
      </c>
    </row>
    <row r="6" spans="1:7" x14ac:dyDescent="0.2">
      <c r="A6">
        <v>891</v>
      </c>
      <c r="B6" t="s">
        <v>24</v>
      </c>
      <c r="C6" s="2">
        <v>4800</v>
      </c>
      <c r="D6" s="2">
        <v>6800</v>
      </c>
      <c r="E6" s="2">
        <v>6900</v>
      </c>
      <c r="F6" s="2">
        <f t="shared" si="0"/>
        <v>18500</v>
      </c>
      <c r="G6" s="2">
        <f t="shared" si="1"/>
        <v>925</v>
      </c>
    </row>
    <row r="7" spans="1:7" x14ac:dyDescent="0.2">
      <c r="A7">
        <v>698</v>
      </c>
      <c r="B7" t="s">
        <v>33</v>
      </c>
      <c r="C7" s="2">
        <v>7900</v>
      </c>
      <c r="D7" s="2">
        <v>7500</v>
      </c>
      <c r="E7" s="2">
        <v>8600</v>
      </c>
      <c r="F7" s="2">
        <f t="shared" si="0"/>
        <v>24000</v>
      </c>
      <c r="G7" s="2">
        <f t="shared" si="1"/>
        <v>1200</v>
      </c>
    </row>
    <row r="8" spans="1:7" x14ac:dyDescent="0.2">
      <c r="A8" s="3" t="s">
        <v>34</v>
      </c>
      <c r="B8" s="3"/>
      <c r="C8" s="2">
        <f>SUM(C2:C7)</f>
        <v>37200</v>
      </c>
      <c r="D8" s="2">
        <f>SUM(D2:D7)</f>
        <v>42800</v>
      </c>
      <c r="E8" s="2">
        <f>SUM(E2:E7)</f>
        <v>47000</v>
      </c>
      <c r="F8" s="2">
        <f>SUM(F2:F7)</f>
        <v>127000</v>
      </c>
      <c r="G8" s="2">
        <f t="shared" si="1"/>
        <v>6350</v>
      </c>
    </row>
    <row r="11" spans="1:7" ht="25.5" x14ac:dyDescent="0.35">
      <c r="B11" s="46" t="s">
        <v>57</v>
      </c>
    </row>
    <row r="33" spans="2:2" ht="25.5" x14ac:dyDescent="0.35">
      <c r="B33" s="46" t="s">
        <v>58</v>
      </c>
    </row>
    <row r="52" spans="2:2" ht="25.5" x14ac:dyDescent="0.35">
      <c r="B52" s="46" t="s">
        <v>59</v>
      </c>
    </row>
    <row r="76" spans="2:2" ht="25.5" x14ac:dyDescent="0.35">
      <c r="B76" s="46" t="s">
        <v>60</v>
      </c>
    </row>
    <row r="100" spans="1:3" ht="25.5" x14ac:dyDescent="0.35">
      <c r="A100" s="6">
        <v>41730</v>
      </c>
      <c r="B100" s="46" t="s">
        <v>61</v>
      </c>
    </row>
    <row r="101" spans="1:3" x14ac:dyDescent="0.2">
      <c r="C101" s="5" t="s">
        <v>62</v>
      </c>
    </row>
    <row r="65536" spans="256:256" x14ac:dyDescent="0.2">
      <c r="IV65536" s="4" t="s">
        <v>25</v>
      </c>
    </row>
  </sheetData>
  <phoneticPr fontId="3" type="noConversion"/>
  <pageMargins left="0.75" right="0.75" top="1" bottom="1" header="0" footer="0"/>
  <pageSetup paperSize="9" orientation="portrait" horizontalDpi="0" verticalDpi="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indexed="39"/>
  </sheetPr>
  <dimension ref="A1:IV65536"/>
  <sheetViews>
    <sheetView tabSelected="1" workbookViewId="0">
      <selection activeCell="J18" sqref="J18"/>
    </sheetView>
  </sheetViews>
  <sheetFormatPr baseColWidth="10" defaultColWidth="11.42578125" defaultRowHeight="12.75" x14ac:dyDescent="0.2"/>
  <sheetData>
    <row r="1" spans="1:8" x14ac:dyDescent="0.2">
      <c r="A1" s="22" t="s">
        <v>35</v>
      </c>
      <c r="B1" s="22"/>
      <c r="C1" s="22"/>
      <c r="D1" s="22"/>
    </row>
    <row r="2" spans="1:8" x14ac:dyDescent="0.2">
      <c r="B2" s="5" t="s">
        <v>36</v>
      </c>
      <c r="C2" s="5" t="s">
        <v>37</v>
      </c>
      <c r="D2" s="5" t="s">
        <v>38</v>
      </c>
      <c r="E2" s="5" t="s">
        <v>39</v>
      </c>
      <c r="F2" s="5" t="s">
        <v>40</v>
      </c>
      <c r="G2" s="5" t="s">
        <v>41</v>
      </c>
      <c r="H2" s="5" t="s">
        <v>42</v>
      </c>
    </row>
    <row r="3" spans="1:8" x14ac:dyDescent="0.2">
      <c r="A3" t="s">
        <v>43</v>
      </c>
      <c r="B3">
        <v>800</v>
      </c>
      <c r="C3">
        <v>1200</v>
      </c>
      <c r="D3">
        <v>1600</v>
      </c>
      <c r="E3">
        <v>1900</v>
      </c>
      <c r="F3">
        <v>2150</v>
      </c>
      <c r="G3">
        <v>1900</v>
      </c>
      <c r="H3">
        <v>2250</v>
      </c>
    </row>
    <row r="4" spans="1:8" x14ac:dyDescent="0.2">
      <c r="A4" t="s">
        <v>44</v>
      </c>
      <c r="B4">
        <v>700</v>
      </c>
      <c r="C4">
        <v>1100</v>
      </c>
      <c r="D4">
        <v>1300</v>
      </c>
      <c r="E4">
        <v>1200</v>
      </c>
      <c r="F4">
        <v>1100</v>
      </c>
      <c r="G4">
        <v>1400</v>
      </c>
      <c r="H4">
        <v>1500</v>
      </c>
    </row>
    <row r="5" spans="1:8" x14ac:dyDescent="0.2">
      <c r="A5" t="s">
        <v>45</v>
      </c>
      <c r="B5">
        <v>900</v>
      </c>
      <c r="C5">
        <v>1250</v>
      </c>
      <c r="D5">
        <v>1500</v>
      </c>
      <c r="E5">
        <v>1800</v>
      </c>
      <c r="F5">
        <v>2100</v>
      </c>
      <c r="G5">
        <v>2300</v>
      </c>
      <c r="H5">
        <v>2500</v>
      </c>
    </row>
    <row r="100" spans="1:1" x14ac:dyDescent="0.2">
      <c r="A100" s="6">
        <v>41730</v>
      </c>
    </row>
    <row r="65536" spans="256:256" x14ac:dyDescent="0.2">
      <c r="IV65536" s="4" t="s">
        <v>25</v>
      </c>
    </row>
  </sheetData>
  <mergeCells count="1">
    <mergeCell ref="A1:D1"/>
  </mergeCells>
  <phoneticPr fontId="3" type="noConversion"/>
  <pageMargins left="0.75" right="0.75" top="1" bottom="1" header="0" footer="0"/>
  <pageSetup paperSize="9" orientation="portrait" horizontalDpi="0" verticalDpi="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indexed="11"/>
  </sheetPr>
  <dimension ref="A1:IT65536"/>
  <sheetViews>
    <sheetView workbookViewId="0">
      <selection activeCell="I16" sqref="I16"/>
    </sheetView>
  </sheetViews>
  <sheetFormatPr baseColWidth="10" defaultColWidth="11.42578125" defaultRowHeight="12.75" x14ac:dyDescent="0.2"/>
  <sheetData>
    <row r="1" spans="1:5" x14ac:dyDescent="0.2">
      <c r="A1" t="s">
        <v>46</v>
      </c>
    </row>
    <row r="2" spans="1:5" x14ac:dyDescent="0.2">
      <c r="B2" t="s">
        <v>47</v>
      </c>
      <c r="C2" t="s">
        <v>48</v>
      </c>
      <c r="D2" t="s">
        <v>49</v>
      </c>
      <c r="E2" t="s">
        <v>50</v>
      </c>
    </row>
    <row r="3" spans="1:5" x14ac:dyDescent="0.2">
      <c r="A3">
        <v>1991</v>
      </c>
      <c r="B3">
        <v>195</v>
      </c>
      <c r="C3">
        <v>89</v>
      </c>
      <c r="D3">
        <v>65</v>
      </c>
      <c r="E3">
        <v>130</v>
      </c>
    </row>
    <row r="4" spans="1:5" x14ac:dyDescent="0.2">
      <c r="A4">
        <v>1992</v>
      </c>
      <c r="B4">
        <v>200</v>
      </c>
      <c r="C4">
        <v>86</v>
      </c>
      <c r="D4">
        <v>63</v>
      </c>
      <c r="E4">
        <v>137</v>
      </c>
    </row>
    <row r="5" spans="1:5" x14ac:dyDescent="0.2">
      <c r="A5">
        <v>1993</v>
      </c>
      <c r="B5">
        <v>220</v>
      </c>
      <c r="C5">
        <v>95</v>
      </c>
      <c r="D5">
        <v>68</v>
      </c>
      <c r="E5">
        <v>160</v>
      </c>
    </row>
    <row r="6" spans="1:5" x14ac:dyDescent="0.2">
      <c r="A6">
        <v>1994</v>
      </c>
      <c r="B6">
        <v>250</v>
      </c>
      <c r="C6">
        <v>96</v>
      </c>
      <c r="D6">
        <v>70</v>
      </c>
      <c r="E6">
        <v>180</v>
      </c>
    </row>
    <row r="7" spans="1:5" x14ac:dyDescent="0.2">
      <c r="A7">
        <v>1995</v>
      </c>
      <c r="B7">
        <v>240</v>
      </c>
      <c r="C7">
        <v>93</v>
      </c>
      <c r="D7">
        <v>76</v>
      </c>
      <c r="E7">
        <v>183</v>
      </c>
    </row>
    <row r="8" spans="1:5" x14ac:dyDescent="0.2">
      <c r="A8">
        <v>1996</v>
      </c>
      <c r="B8">
        <v>230</v>
      </c>
      <c r="C8">
        <v>97</v>
      </c>
      <c r="D8">
        <v>79</v>
      </c>
      <c r="E8">
        <v>189</v>
      </c>
    </row>
    <row r="9" spans="1:5" x14ac:dyDescent="0.2">
      <c r="A9">
        <v>1997</v>
      </c>
      <c r="B9">
        <v>192</v>
      </c>
      <c r="C9">
        <v>83</v>
      </c>
      <c r="D9">
        <v>85</v>
      </c>
      <c r="E9">
        <v>170</v>
      </c>
    </row>
    <row r="10" spans="1:5" x14ac:dyDescent="0.2">
      <c r="A10">
        <v>1998</v>
      </c>
      <c r="B10">
        <v>194</v>
      </c>
      <c r="C10">
        <v>81</v>
      </c>
      <c r="D10">
        <v>83</v>
      </c>
      <c r="E10">
        <v>174</v>
      </c>
    </row>
    <row r="11" spans="1:5" x14ac:dyDescent="0.2">
      <c r="A11">
        <v>1999</v>
      </c>
      <c r="B11">
        <v>215</v>
      </c>
      <c r="C11">
        <v>104</v>
      </c>
      <c r="D11">
        <v>100</v>
      </c>
      <c r="E11">
        <v>165</v>
      </c>
    </row>
    <row r="12" spans="1:5" x14ac:dyDescent="0.2">
      <c r="A12">
        <v>2000</v>
      </c>
      <c r="B12">
        <v>200</v>
      </c>
      <c r="C12">
        <v>102</v>
      </c>
      <c r="D12">
        <v>105</v>
      </c>
      <c r="E12">
        <v>168</v>
      </c>
    </row>
    <row r="13" spans="1:5" x14ac:dyDescent="0.2">
      <c r="A13">
        <v>2001</v>
      </c>
      <c r="B13">
        <v>195</v>
      </c>
      <c r="C13">
        <v>98</v>
      </c>
      <c r="D13">
        <v>110</v>
      </c>
      <c r="E13">
        <v>170</v>
      </c>
    </row>
    <row r="14" spans="1:5" x14ac:dyDescent="0.2">
      <c r="A14">
        <v>2002</v>
      </c>
      <c r="B14">
        <v>210</v>
      </c>
      <c r="C14">
        <v>90</v>
      </c>
      <c r="D14">
        <v>130</v>
      </c>
      <c r="E14">
        <v>170</v>
      </c>
    </row>
    <row r="15" spans="1:5" x14ac:dyDescent="0.2">
      <c r="A15">
        <v>2003</v>
      </c>
      <c r="B15">
        <v>215</v>
      </c>
      <c r="C15">
        <v>83</v>
      </c>
      <c r="D15">
        <v>150</v>
      </c>
      <c r="E15">
        <v>190</v>
      </c>
    </row>
    <row r="16" spans="1:5" x14ac:dyDescent="0.2">
      <c r="A16">
        <v>2004</v>
      </c>
      <c r="B16">
        <v>220</v>
      </c>
      <c r="C16">
        <v>93</v>
      </c>
      <c r="D16">
        <v>165</v>
      </c>
      <c r="E16">
        <v>200</v>
      </c>
    </row>
    <row r="17" spans="1:5" x14ac:dyDescent="0.2">
      <c r="A17">
        <v>2005</v>
      </c>
      <c r="B17">
        <v>235</v>
      </c>
      <c r="C17">
        <v>82</v>
      </c>
      <c r="D17">
        <v>170</v>
      </c>
      <c r="E17">
        <v>210</v>
      </c>
    </row>
    <row r="18" spans="1:5" x14ac:dyDescent="0.2">
      <c r="A18">
        <v>2006</v>
      </c>
      <c r="B18">
        <v>240</v>
      </c>
      <c r="C18">
        <v>93</v>
      </c>
      <c r="D18">
        <v>190</v>
      </c>
      <c r="E18">
        <v>205</v>
      </c>
    </row>
    <row r="19" spans="1:5" x14ac:dyDescent="0.2">
      <c r="A19">
        <v>2007</v>
      </c>
      <c r="B19">
        <v>250</v>
      </c>
      <c r="C19">
        <v>102</v>
      </c>
      <c r="D19">
        <v>200</v>
      </c>
      <c r="E19">
        <v>190</v>
      </c>
    </row>
    <row r="20" spans="1:5" x14ac:dyDescent="0.2">
      <c r="A20">
        <v>2008</v>
      </c>
      <c r="B20">
        <v>255</v>
      </c>
      <c r="C20">
        <v>120</v>
      </c>
      <c r="D20">
        <v>215</v>
      </c>
      <c r="E20">
        <v>194</v>
      </c>
    </row>
    <row r="21" spans="1:5" x14ac:dyDescent="0.2">
      <c r="A21">
        <v>2009</v>
      </c>
      <c r="B21">
        <v>265</v>
      </c>
      <c r="C21">
        <v>125</v>
      </c>
      <c r="D21">
        <v>230</v>
      </c>
      <c r="E21">
        <v>180</v>
      </c>
    </row>
    <row r="22" spans="1:5" x14ac:dyDescent="0.2">
      <c r="A22">
        <v>2010</v>
      </c>
      <c r="B22">
        <v>285</v>
      </c>
      <c r="C22">
        <v>130</v>
      </c>
      <c r="D22">
        <v>245</v>
      </c>
      <c r="E22">
        <v>195</v>
      </c>
    </row>
    <row r="100" spans="1:1" x14ac:dyDescent="0.2">
      <c r="A100" s="6">
        <v>41730</v>
      </c>
    </row>
    <row r="65536" spans="254:254" x14ac:dyDescent="0.2">
      <c r="IT65536" s="4" t="s">
        <v>25</v>
      </c>
    </row>
  </sheetData>
  <phoneticPr fontId="3" type="noConversion"/>
  <pageMargins left="0.75" right="0.75" top="1" bottom="1" header="0" footer="0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Datos personales</vt:lpstr>
      <vt:lpstr>Ejercicio 1</vt:lpstr>
      <vt:lpstr>Ejercicio 2</vt:lpstr>
      <vt:lpstr>Ejercicio 3</vt:lpstr>
      <vt:lpstr>Ejercicio 4</vt:lpstr>
      <vt:lpstr>A1.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CHANIVET DAN ELOY</dc:creator>
  <cp:keywords/>
  <dc:description/>
  <cp:lastModifiedBy>CHANIVET DAN ELOY</cp:lastModifiedBy>
  <cp:revision>1</cp:revision>
  <dcterms:created xsi:type="dcterms:W3CDTF">2023-09-16T15:47:53Z</dcterms:created>
  <dcterms:modified xsi:type="dcterms:W3CDTF">2024-02-19T18:54:55Z</dcterms:modified>
  <cp:category/>
  <cp:contentStatus/>
</cp:coreProperties>
</file>