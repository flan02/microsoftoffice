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guardo pen\trabajos practicos\excel\nuevos tps de excel 2do c 2023\Nivel 1\Tp 5\"/>
    </mc:Choice>
  </mc:AlternateContent>
  <xr:revisionPtr revIDLastSave="0" documentId="13_ncr:1_{1ADCD933-D92D-40EE-9B33-C893A9C6BB5D}" xr6:coauthVersionLast="47" xr6:coauthVersionMax="47" xr10:uidLastSave="{00000000-0000-0000-0000-000000000000}"/>
  <workbookProtection workbookAlgorithmName="SHA-512" workbookHashValue="2Tkj8o8+7YtzitGhF2I+rffAasFm5L0CHo5qZfuSqIxe/7oFxAe65vz65mqUYATu+TqJfscxq7HfeCRYKPn0+Q==" workbookSaltValue="QwUs+OBWVUbzmDDUYfXYyg==" workbookSpinCount="100000" lockStructure="1"/>
  <bookViews>
    <workbookView xWindow="-108" yWindow="-108" windowWidth="23256" windowHeight="12576" tabRatio="702" xr2:uid="{00000000-000D-0000-FFFF-FFFF00000000}"/>
  </bookViews>
  <sheets>
    <sheet name="Datos personales" sheetId="15" r:id="rId1"/>
    <sheet name="Ejercicio 1" sheetId="10" r:id="rId2"/>
    <sheet name="Ejercicio 2" sheetId="12" r:id="rId3"/>
    <sheet name="Ejercicio 3" sheetId="13" r:id="rId4"/>
    <sheet name="Ejercicio 4" sheetId="14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2" l="1"/>
  <c r="G2" i="12" s="1"/>
  <c r="F3" i="12"/>
  <c r="G3" i="12" s="1"/>
  <c r="F4" i="12"/>
  <c r="G4" i="12" s="1"/>
  <c r="F5" i="12"/>
  <c r="G5" i="12" s="1"/>
  <c r="F6" i="12"/>
  <c r="G6" i="12" s="1"/>
  <c r="F7" i="12"/>
  <c r="G7" i="12" s="1"/>
  <c r="C8" i="12"/>
  <c r="D8" i="12"/>
  <c r="E8" i="12"/>
  <c r="F8" i="12" l="1"/>
  <c r="G8" i="12" s="1"/>
  <c r="RAH1901" i="15"/>
  <c r="RAG1903" i="15"/>
  <c r="RAH1904" i="15"/>
  <c r="RAI1904" i="15"/>
</calcChain>
</file>

<file path=xl/sharedStrings.xml><?xml version="1.0" encoding="utf-8"?>
<sst xmlns="http://schemas.openxmlformats.org/spreadsheetml/2006/main" count="131" uniqueCount="63">
  <si>
    <t>Clases dictadas en el cuatrimestre:</t>
  </si>
  <si>
    <t>Alumno</t>
  </si>
  <si>
    <t>Calificaciones</t>
  </si>
  <si>
    <t>Inasistencias</t>
  </si>
  <si>
    <t>Promedio de los parciales</t>
  </si>
  <si>
    <t>Resultado de los T.P.</t>
  </si>
  <si>
    <t>Asignación beca</t>
  </si>
  <si>
    <t>Observaciones</t>
  </si>
  <si>
    <t>Resultado final cuatrimestre</t>
  </si>
  <si>
    <t>Parcial 1</t>
  </si>
  <si>
    <t>Parcial 2</t>
  </si>
  <si>
    <t>T.P.</t>
  </si>
  <si>
    <t>Cantidad</t>
  </si>
  <si>
    <t>Porcentaje</t>
  </si>
  <si>
    <t>Luis Gomez</t>
  </si>
  <si>
    <t>a)</t>
  </si>
  <si>
    <t>b)</t>
  </si>
  <si>
    <t>c)</t>
  </si>
  <si>
    <t>d)</t>
  </si>
  <si>
    <t>e)</t>
  </si>
  <si>
    <t>f)</t>
  </si>
  <si>
    <t>Ana López</t>
  </si>
  <si>
    <t>María Marquez</t>
  </si>
  <si>
    <t>Mabel Urquiza</t>
  </si>
  <si>
    <t>Jorge Diaz</t>
  </si>
  <si>
    <t>Sabrina Ruiz</t>
  </si>
  <si>
    <t>Susana Sanchez</t>
  </si>
  <si>
    <t>Pedro Calvo</t>
  </si>
  <si>
    <t>Carlos Suarez</t>
  </si>
  <si>
    <t>Hector Perez</t>
  </si>
  <si>
    <t>Elena Noriega</t>
  </si>
  <si>
    <t>6-2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</si>
  <si>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</si>
  <si>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</si>
  <si>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</si>
  <si>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</si>
  <si>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</si>
  <si>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</si>
  <si>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</si>
  <si>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Rodriguez Ana</t>
  </si>
  <si>
    <t>Totales</t>
  </si>
  <si>
    <t>Cantidad de alumnos según los turnos</t>
  </si>
  <si>
    <t>Año 2010</t>
  </si>
  <si>
    <t>Año 2011</t>
  </si>
  <si>
    <t>Año 2012</t>
  </si>
  <si>
    <t>Año 2013</t>
  </si>
  <si>
    <t>Año 2014</t>
  </si>
  <si>
    <t>Año 2015</t>
  </si>
  <si>
    <t>Año 2016</t>
  </si>
  <si>
    <t>Mañana</t>
  </si>
  <si>
    <t>Tarde</t>
  </si>
  <si>
    <t>Noche</t>
  </si>
  <si>
    <t>Cosechas, en miles de toneladas y por año</t>
  </si>
  <si>
    <t>Trigo</t>
  </si>
  <si>
    <t>Avena</t>
  </si>
  <si>
    <t>Soja</t>
  </si>
  <si>
    <t>Maíz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</si>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</sst>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\ [$€]_-;\-* #,##0.00\ [$€]_-;_-* &quot;-&quot;??\ [$€]_-;_-@_-"/>
    <numFmt numFmtId="166" formatCode="dd/mm/yyyy\ h:mm:ss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0" fillId="0" borderId="0" xfId="0" applyAlignment="1">
      <alignment textRotation="45"/>
    </xf>
    <xf numFmtId="0" fontId="0" fillId="0" borderId="0" xfId="0" quotePrefix="1"/>
    <xf numFmtId="0" fontId="2" fillId="0" borderId="0" xfId="0" applyFont="1"/>
    <xf numFmtId="14" fontId="4" fillId="0" borderId="0" xfId="0" applyNumberFormat="1" applyFont="1"/>
    <xf numFmtId="0" fontId="0" fillId="0" borderId="0" xfId="0" applyAlignment="1">
      <alignment horizontal="center"/>
    </xf>
    <xf numFmtId="0" fontId="6" fillId="3" borderId="1" xfId="2" applyFont="1" applyFill="1" applyBorder="1" applyAlignment="1">
      <alignment horizontal="center"/>
    </xf>
    <xf numFmtId="0" fontId="6" fillId="3" borderId="2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1" fillId="0" borderId="0" xfId="2"/>
    <xf numFmtId="0" fontId="1" fillId="4" borderId="0" xfId="2" applyFill="1" applyAlignment="1">
      <alignment horizontal="center" vertical="center"/>
    </xf>
    <xf numFmtId="0" fontId="6" fillId="5" borderId="1" xfId="2" applyFont="1" applyFill="1" applyBorder="1" applyAlignment="1" applyProtection="1">
      <alignment horizontal="center" vertical="center" wrapText="1"/>
      <protection locked="0"/>
    </xf>
    <xf numFmtId="0" fontId="6" fillId="5" borderId="2" xfId="2" applyFont="1" applyFill="1" applyBorder="1" applyAlignment="1" applyProtection="1">
      <alignment horizontal="center" vertical="center" wrapText="1"/>
      <protection locked="0"/>
    </xf>
    <xf numFmtId="0" fontId="6" fillId="5" borderId="3" xfId="2" applyFont="1" applyFill="1" applyBorder="1" applyAlignment="1" applyProtection="1">
      <alignment horizontal="center" vertical="center" wrapText="1"/>
      <protection locked="0"/>
    </xf>
    <xf numFmtId="0" fontId="5" fillId="0" borderId="0" xfId="2" applyFont="1"/>
    <xf numFmtId="0" fontId="1" fillId="0" borderId="0" xfId="2" applyAlignment="1">
      <alignment horizontal="center" vertical="center"/>
    </xf>
    <xf numFmtId="166" fontId="7" fillId="0" borderId="0" xfId="2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7" fillId="0" borderId="0" xfId="2" applyNumberFormat="1" applyFont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center" vertical="center"/>
      <protection hidden="1"/>
    </xf>
    <xf numFmtId="0" fontId="1" fillId="0" borderId="0" xfId="2" applyAlignment="1" applyProtection="1">
      <alignment horizontal="center" vertical="top" wrapText="1"/>
      <protection hidden="1"/>
    </xf>
  </cellXfs>
  <cellStyles count="3">
    <cellStyle name="Euro" xfId="1" xr:uid="{00000000-0005-0000-0000-000000000000}"/>
    <cellStyle name="Normal" xfId="0" builtinId="0"/>
    <cellStyle name="Normal 2" xfId="2" xr:uid="{D88C87CA-ECC9-46FB-B063-5DB157CCEF8E}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D64A-C607-483D-9F92-89C81AC0588D}">
  <dimension ref="A1:RAI1913"/>
  <sheetViews>
    <sheetView tabSelected="1" topLeftCell="A2" zoomScale="175" zoomScaleNormal="175" workbookViewId="0">
      <selection activeCell="A3" sqref="A3:D6"/>
    </sheetView>
  </sheetViews>
  <sheetFormatPr baseColWidth="10" defaultRowHeight="14.4" x14ac:dyDescent="0.3"/>
  <cols>
    <col min="1" max="1" width="15.6640625" style="12" bestFit="1" customWidth="1"/>
    <col min="2" max="235" width="15.6640625" style="12" customWidth="1"/>
    <col min="236" max="237" width="11.5546875" style="12"/>
    <col min="238" max="238" width="67.44140625" style="12" bestFit="1" customWidth="1"/>
    <col min="239" max="239" width="12.109375" style="12" bestFit="1" customWidth="1"/>
    <col min="240" max="12201" width="11.5546875" style="12"/>
    <col min="12202" max="12202" width="39.5546875" style="12" customWidth="1"/>
    <col min="12203" max="12203" width="13" style="12" customWidth="1"/>
    <col min="12204" max="16384" width="11.5546875" style="12"/>
  </cols>
  <sheetData>
    <row r="1" spans="1:4" x14ac:dyDescent="0.3">
      <c r="A1" s="9" t="s">
        <v>57</v>
      </c>
      <c r="B1" s="10"/>
      <c r="C1" s="10"/>
      <c r="D1" s="11"/>
    </row>
    <row r="2" spans="1:4" x14ac:dyDescent="0.3">
      <c r="A2" s="13" t="s">
        <v>58</v>
      </c>
      <c r="B2" s="9" t="s">
        <v>59</v>
      </c>
      <c r="C2" s="10"/>
      <c r="D2" s="11"/>
    </row>
    <row r="3" spans="1:4" x14ac:dyDescent="0.3">
      <c r="A3" s="14"/>
      <c r="B3" s="15"/>
      <c r="C3" s="15"/>
      <c r="D3" s="16"/>
    </row>
    <row r="4" spans="1:4" x14ac:dyDescent="0.3">
      <c r="A4" s="14"/>
      <c r="B4" s="15"/>
      <c r="C4" s="15"/>
      <c r="D4" s="16"/>
    </row>
    <row r="5" spans="1:4" x14ac:dyDescent="0.3">
      <c r="A5" s="14"/>
      <c r="B5" s="15"/>
      <c r="C5" s="15"/>
      <c r="D5" s="16"/>
    </row>
    <row r="6" spans="1:4" x14ac:dyDescent="0.3">
      <c r="A6" s="14"/>
      <c r="B6" s="15"/>
      <c r="C6" s="15"/>
      <c r="D6" s="16"/>
    </row>
    <row r="190" spans="237:239" x14ac:dyDescent="0.3">
      <c r="IC190" s="17"/>
      <c r="IE190" s="17"/>
    </row>
    <row r="192" spans="237:239" ht="14.4" customHeight="1" x14ac:dyDescent="0.3"/>
    <row r="202" spans="238:238" x14ac:dyDescent="0.3">
      <c r="ID202" s="18"/>
    </row>
    <row r="1900" spans="12201:12203" x14ac:dyDescent="0.3">
      <c r="RAH1900" s="19" t="s">
        <v>60</v>
      </c>
    </row>
    <row r="1901" spans="12201:12203" x14ac:dyDescent="0.3">
      <c r="RAH1901" s="20">
        <f ca="1">IF(RAH1901=0,IF('Ejercicio 1'!F5="a)",0,TEXT(NOW(),"dd/mm/aaaa")&amp;"  a las  "&amp;TEXT(NOW(),"hh:mm:ss")),RAH1901)</f>
        <v>0</v>
      </c>
    </row>
    <row r="1903" spans="12201:12203" x14ac:dyDescent="0.3">
      <c r="RAG1903" s="21">
        <f ca="1">IF(A3=RAI1904,RAG1903,NOW())</f>
        <v>45158.548069444441</v>
      </c>
      <c r="RAH1903" s="19" t="s">
        <v>61</v>
      </c>
      <c r="RAI1903" s="22" t="s">
        <v>62</v>
      </c>
    </row>
    <row r="1904" spans="12201:12203" x14ac:dyDescent="0.3">
      <c r="RAG1904" s="22"/>
      <c r="RAH1904" s="23">
        <f ca="1">IF(RAG1903=0,"-",IF(A3=RAI1904,RAH1904,RAH1904&amp;"👉  "&amp;TEXT(RAG1903,"dd/mm/aaaa hh:mm:ss")&amp;".-- "&amp;" --&gt;  "&amp;"("&amp;A3&amp;")"))</f>
        <v>0</v>
      </c>
      <c r="RAI1904" s="22">
        <f ca="1">IF(A3=RAI1904,RAI1904,A3)</f>
        <v>0</v>
      </c>
    </row>
    <row r="1905" spans="12201:12203" x14ac:dyDescent="0.3">
      <c r="RAG1905" s="22"/>
      <c r="RAH1905" s="23"/>
      <c r="RAI1905" s="22"/>
    </row>
    <row r="1906" spans="12201:12203" x14ac:dyDescent="0.3">
      <c r="RAG1906" s="22"/>
      <c r="RAH1906" s="23"/>
      <c r="RAI1906" s="22"/>
    </row>
    <row r="1907" spans="12201:12203" x14ac:dyDescent="0.3">
      <c r="RAG1907" s="22"/>
      <c r="RAH1907" s="23"/>
      <c r="RAI1907" s="22"/>
    </row>
    <row r="1908" spans="12201:12203" x14ac:dyDescent="0.3">
      <c r="RAG1908" s="22"/>
      <c r="RAH1908" s="23"/>
      <c r="RAI1908" s="22"/>
    </row>
    <row r="1909" spans="12201:12203" x14ac:dyDescent="0.3">
      <c r="RAG1909" s="22"/>
      <c r="RAH1909" s="23"/>
      <c r="RAI1909" s="22"/>
    </row>
    <row r="1910" spans="12201:12203" x14ac:dyDescent="0.3">
      <c r="RAG1910" s="22"/>
      <c r="RAH1910" s="23"/>
      <c r="RAI1910" s="22"/>
    </row>
    <row r="1911" spans="12201:12203" x14ac:dyDescent="0.3">
      <c r="RAG1911" s="22"/>
      <c r="RAH1911" s="23"/>
      <c r="RAI1911" s="22"/>
    </row>
    <row r="1912" spans="12201:12203" x14ac:dyDescent="0.3">
      <c r="RAG1912" s="22"/>
      <c r="RAH1912" s="23"/>
      <c r="RAI1912" s="22"/>
    </row>
    <row r="1913" spans="12201:12203" x14ac:dyDescent="0.3">
      <c r="RAG1913" s="22"/>
      <c r="RAH1913" s="23"/>
      <c r="RAI1913" s="22"/>
    </row>
  </sheetData>
  <sheetProtection algorithmName="SHA-512" hashValue="PYRnb8b4jnBCE/MP21bi5oYNBG9UkCyu70b+PWQhYyDtrf4hjlXpuLmEXsF0f5S4iNyUaHh33rS9zH/Wvcx0Wg==" saltValue="7v6SdFdsVuMRNcJVW1AsxQ==" spinCount="100000" sheet="1" objects="1" scenarios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1"/>
  </sheetPr>
  <dimension ref="A1:IV65536"/>
  <sheetViews>
    <sheetView workbookViewId="0">
      <selection activeCell="F5" sqref="F5"/>
    </sheetView>
  </sheetViews>
  <sheetFormatPr baseColWidth="10" defaultColWidth="11.44140625" defaultRowHeight="13.2" x14ac:dyDescent="0.25"/>
  <cols>
    <col min="1" max="1" width="13.109375" customWidth="1"/>
    <col min="2" max="2" width="10" customWidth="1"/>
    <col min="3" max="3" width="8.109375" customWidth="1"/>
    <col min="4" max="4" width="8.88671875" customWidth="1"/>
    <col min="5" max="6" width="9.6640625" customWidth="1"/>
  </cols>
  <sheetData>
    <row r="1" spans="1:11" x14ac:dyDescent="0.25">
      <c r="A1" t="s">
        <v>0</v>
      </c>
      <c r="E1">
        <v>32</v>
      </c>
    </row>
    <row r="3" spans="1:11" ht="15" customHeight="1" x14ac:dyDescent="0.25">
      <c r="A3" t="s">
        <v>1</v>
      </c>
      <c r="B3" t="s">
        <v>2</v>
      </c>
      <c r="E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</row>
    <row r="4" spans="1:11" x14ac:dyDescent="0.25">
      <c r="B4" t="s">
        <v>9</v>
      </c>
      <c r="C4" t="s">
        <v>10</v>
      </c>
      <c r="D4" t="s">
        <v>11</v>
      </c>
      <c r="E4" t="s">
        <v>12</v>
      </c>
      <c r="F4" t="s">
        <v>13</v>
      </c>
      <c r="J4" s="4"/>
    </row>
    <row r="5" spans="1:11" x14ac:dyDescent="0.25">
      <c r="A5" s="6" t="s">
        <v>14</v>
      </c>
      <c r="B5">
        <v>4</v>
      </c>
      <c r="C5">
        <v>6</v>
      </c>
      <c r="D5">
        <v>6</v>
      </c>
      <c r="E5">
        <v>6</v>
      </c>
      <c r="F5" t="s">
        <v>15</v>
      </c>
      <c r="G5" t="s">
        <v>16</v>
      </c>
      <c r="H5" t="s">
        <v>17</v>
      </c>
      <c r="I5" t="s">
        <v>18</v>
      </c>
      <c r="J5" t="s">
        <v>19</v>
      </c>
      <c r="K5" t="s">
        <v>20</v>
      </c>
    </row>
    <row r="6" spans="1:11" x14ac:dyDescent="0.25">
      <c r="A6" t="s">
        <v>21</v>
      </c>
      <c r="B6">
        <v>8</v>
      </c>
      <c r="C6">
        <v>8</v>
      </c>
      <c r="D6">
        <v>10</v>
      </c>
      <c r="E6">
        <v>3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</row>
    <row r="7" spans="1:11" x14ac:dyDescent="0.25">
      <c r="A7" t="s">
        <v>22</v>
      </c>
      <c r="B7">
        <v>9</v>
      </c>
      <c r="C7">
        <v>8</v>
      </c>
      <c r="D7">
        <v>6</v>
      </c>
      <c r="E7">
        <v>2</v>
      </c>
      <c r="F7" t="s">
        <v>15</v>
      </c>
      <c r="G7" t="s">
        <v>16</v>
      </c>
      <c r="H7" t="s">
        <v>17</v>
      </c>
      <c r="I7" t="s">
        <v>18</v>
      </c>
      <c r="J7" t="s">
        <v>19</v>
      </c>
      <c r="K7" t="s">
        <v>20</v>
      </c>
    </row>
    <row r="8" spans="1:11" x14ac:dyDescent="0.25">
      <c r="A8" t="s">
        <v>23</v>
      </c>
      <c r="B8">
        <v>6</v>
      </c>
      <c r="C8">
        <v>6</v>
      </c>
      <c r="D8">
        <v>6</v>
      </c>
      <c r="E8">
        <v>7</v>
      </c>
      <c r="F8" t="s">
        <v>15</v>
      </c>
      <c r="G8" t="s">
        <v>16</v>
      </c>
      <c r="H8" t="s">
        <v>17</v>
      </c>
      <c r="I8" t="s">
        <v>18</v>
      </c>
      <c r="J8" t="s">
        <v>19</v>
      </c>
      <c r="K8" t="s">
        <v>20</v>
      </c>
    </row>
    <row r="9" spans="1:11" x14ac:dyDescent="0.25">
      <c r="A9" t="s">
        <v>24</v>
      </c>
      <c r="B9">
        <v>4</v>
      </c>
      <c r="C9">
        <v>3</v>
      </c>
      <c r="D9">
        <v>3</v>
      </c>
      <c r="E9">
        <v>2</v>
      </c>
      <c r="F9" t="s">
        <v>15</v>
      </c>
      <c r="G9" t="s">
        <v>16</v>
      </c>
      <c r="H9" t="s">
        <v>17</v>
      </c>
      <c r="I9" t="s">
        <v>18</v>
      </c>
      <c r="J9" t="s">
        <v>19</v>
      </c>
      <c r="K9" t="s">
        <v>20</v>
      </c>
    </row>
    <row r="10" spans="1:11" x14ac:dyDescent="0.25">
      <c r="A10" t="s">
        <v>25</v>
      </c>
      <c r="B10">
        <v>3</v>
      </c>
      <c r="C10">
        <v>6</v>
      </c>
      <c r="D10">
        <v>3</v>
      </c>
      <c r="E10">
        <v>6</v>
      </c>
      <c r="F10" t="s">
        <v>15</v>
      </c>
      <c r="G10" t="s">
        <v>16</v>
      </c>
      <c r="H10" t="s">
        <v>17</v>
      </c>
      <c r="I10" t="s">
        <v>18</v>
      </c>
      <c r="J10" t="s">
        <v>19</v>
      </c>
      <c r="K10" t="s">
        <v>20</v>
      </c>
    </row>
    <row r="11" spans="1:11" x14ac:dyDescent="0.25">
      <c r="A11" t="s">
        <v>26</v>
      </c>
      <c r="B11">
        <v>9</v>
      </c>
      <c r="C11">
        <v>9</v>
      </c>
      <c r="D11">
        <v>9</v>
      </c>
      <c r="E11">
        <v>8</v>
      </c>
      <c r="F11" t="s">
        <v>15</v>
      </c>
      <c r="G11" t="s">
        <v>16</v>
      </c>
      <c r="H11" t="s">
        <v>17</v>
      </c>
      <c r="I11" t="s">
        <v>18</v>
      </c>
      <c r="J11" t="s">
        <v>19</v>
      </c>
      <c r="K11" t="s">
        <v>20</v>
      </c>
    </row>
    <row r="12" spans="1:11" x14ac:dyDescent="0.25">
      <c r="A12" t="s">
        <v>27</v>
      </c>
      <c r="B12">
        <v>6</v>
      </c>
      <c r="C12">
        <v>3</v>
      </c>
      <c r="D12">
        <v>6</v>
      </c>
      <c r="E12">
        <v>6</v>
      </c>
      <c r="F12" t="s">
        <v>15</v>
      </c>
      <c r="G12" t="s">
        <v>16</v>
      </c>
      <c r="H12" t="s">
        <v>17</v>
      </c>
      <c r="I12" t="s">
        <v>18</v>
      </c>
      <c r="J12" t="s">
        <v>19</v>
      </c>
      <c r="K12" t="s">
        <v>20</v>
      </c>
    </row>
    <row r="13" spans="1:11" x14ac:dyDescent="0.25">
      <c r="A13" t="s">
        <v>28</v>
      </c>
      <c r="B13">
        <v>9</v>
      </c>
      <c r="C13">
        <v>9</v>
      </c>
      <c r="D13">
        <v>8</v>
      </c>
      <c r="E13">
        <v>3</v>
      </c>
      <c r="F13" t="s">
        <v>15</v>
      </c>
      <c r="G13" t="s">
        <v>16</v>
      </c>
      <c r="H13" t="s">
        <v>17</v>
      </c>
      <c r="I13" t="s">
        <v>18</v>
      </c>
      <c r="J13" t="s">
        <v>19</v>
      </c>
      <c r="K13" t="s">
        <v>20</v>
      </c>
    </row>
    <row r="14" spans="1:11" x14ac:dyDescent="0.25">
      <c r="A14" t="s">
        <v>29</v>
      </c>
      <c r="B14">
        <v>8</v>
      </c>
      <c r="C14">
        <v>8</v>
      </c>
      <c r="D14">
        <v>3</v>
      </c>
      <c r="E14">
        <v>6</v>
      </c>
      <c r="F14" t="s">
        <v>15</v>
      </c>
      <c r="G14" t="s">
        <v>16</v>
      </c>
      <c r="H14" t="s">
        <v>17</v>
      </c>
      <c r="I14" t="s">
        <v>18</v>
      </c>
      <c r="J14" t="s">
        <v>19</v>
      </c>
      <c r="K14" t="s">
        <v>20</v>
      </c>
    </row>
    <row r="15" spans="1:11" x14ac:dyDescent="0.25">
      <c r="A15" t="s">
        <v>30</v>
      </c>
      <c r="B15">
        <v>6</v>
      </c>
      <c r="C15">
        <v>6</v>
      </c>
      <c r="D15">
        <v>6</v>
      </c>
      <c r="E15">
        <v>0</v>
      </c>
      <c r="F15" t="s">
        <v>15</v>
      </c>
      <c r="G15" t="s">
        <v>16</v>
      </c>
      <c r="H15" t="s">
        <v>17</v>
      </c>
      <c r="I15" t="s">
        <v>18</v>
      </c>
      <c r="J15" t="s">
        <v>19</v>
      </c>
      <c r="K15" t="s">
        <v>20</v>
      </c>
    </row>
    <row r="100" spans="1:1" x14ac:dyDescent="0.25">
      <c r="A100" s="7">
        <v>41730</v>
      </c>
    </row>
    <row r="65536" spans="256:256" x14ac:dyDescent="0.25">
      <c r="IV65536" s="5" t="s">
        <v>31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3"/>
  </sheetPr>
  <dimension ref="A1:IV65536"/>
  <sheetViews>
    <sheetView workbookViewId="0">
      <selection activeCell="A1000" sqref="A1000"/>
    </sheetView>
  </sheetViews>
  <sheetFormatPr baseColWidth="10" defaultColWidth="11.44140625" defaultRowHeight="13.2" x14ac:dyDescent="0.25"/>
  <cols>
    <col min="1" max="1" width="8.6640625" customWidth="1"/>
    <col min="2" max="2" width="15.33203125" customWidth="1"/>
    <col min="6" max="6" width="13.109375" customWidth="1"/>
  </cols>
  <sheetData>
    <row r="1" spans="1:7" ht="26.4" x14ac:dyDescent="0.25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  <row r="2" spans="1:7" x14ac:dyDescent="0.25">
      <c r="A2">
        <v>3311</v>
      </c>
      <c r="B2" t="s">
        <v>26</v>
      </c>
      <c r="C2" s="2">
        <v>7500</v>
      </c>
      <c r="D2" s="2">
        <v>8000</v>
      </c>
      <c r="E2" s="2">
        <v>6500</v>
      </c>
      <c r="F2" s="2">
        <f t="shared" ref="F2:F7" si="0">SUM(C2:E2)</f>
        <v>22000</v>
      </c>
      <c r="G2" s="2">
        <f>F2*5%</f>
        <v>1100</v>
      </c>
    </row>
    <row r="3" spans="1:7" x14ac:dyDescent="0.25">
      <c r="A3">
        <v>725</v>
      </c>
      <c r="B3" t="s">
        <v>27</v>
      </c>
      <c r="C3" s="2">
        <v>5500</v>
      </c>
      <c r="D3" s="2">
        <v>7500</v>
      </c>
      <c r="E3" s="2">
        <v>8000</v>
      </c>
      <c r="F3" s="2">
        <f t="shared" si="0"/>
        <v>21000</v>
      </c>
      <c r="G3" s="2">
        <f t="shared" ref="G3:G8" si="1">F3*5%</f>
        <v>1050</v>
      </c>
    </row>
    <row r="4" spans="1:7" x14ac:dyDescent="0.25">
      <c r="A4">
        <v>231</v>
      </c>
      <c r="B4" t="s">
        <v>28</v>
      </c>
      <c r="C4" s="2">
        <v>6000</v>
      </c>
      <c r="D4" s="2">
        <v>5000</v>
      </c>
      <c r="E4" s="2">
        <v>9000</v>
      </c>
      <c r="F4" s="2">
        <f t="shared" si="0"/>
        <v>20000</v>
      </c>
      <c r="G4" s="2">
        <f t="shared" si="1"/>
        <v>1000</v>
      </c>
    </row>
    <row r="5" spans="1:7" x14ac:dyDescent="0.25">
      <c r="A5">
        <v>564</v>
      </c>
      <c r="B5" t="s">
        <v>29</v>
      </c>
      <c r="C5" s="2">
        <v>5500</v>
      </c>
      <c r="D5" s="2">
        <v>8000</v>
      </c>
      <c r="E5" s="2">
        <v>8000</v>
      </c>
      <c r="F5" s="2">
        <f t="shared" si="0"/>
        <v>21500</v>
      </c>
      <c r="G5" s="2">
        <f t="shared" si="1"/>
        <v>1075</v>
      </c>
    </row>
    <row r="6" spans="1:7" x14ac:dyDescent="0.25">
      <c r="A6">
        <v>891</v>
      </c>
      <c r="B6" t="s">
        <v>30</v>
      </c>
      <c r="C6" s="2">
        <v>4800</v>
      </c>
      <c r="D6" s="2">
        <v>6800</v>
      </c>
      <c r="E6" s="2">
        <v>6900</v>
      </c>
      <c r="F6" s="2">
        <f t="shared" si="0"/>
        <v>18500</v>
      </c>
      <c r="G6" s="2">
        <f t="shared" si="1"/>
        <v>925</v>
      </c>
    </row>
    <row r="7" spans="1:7" x14ac:dyDescent="0.25">
      <c r="A7">
        <v>698</v>
      </c>
      <c r="B7" t="s">
        <v>39</v>
      </c>
      <c r="C7" s="2">
        <v>7900</v>
      </c>
      <c r="D7" s="2">
        <v>7500</v>
      </c>
      <c r="E7" s="2">
        <v>8600</v>
      </c>
      <c r="F7" s="2">
        <f t="shared" si="0"/>
        <v>24000</v>
      </c>
      <c r="G7" s="2">
        <f t="shared" si="1"/>
        <v>1200</v>
      </c>
    </row>
    <row r="8" spans="1:7" x14ac:dyDescent="0.25">
      <c r="A8" s="3" t="s">
        <v>40</v>
      </c>
      <c r="B8" s="3"/>
      <c r="C8" s="2">
        <f>SUM(C2:C7)</f>
        <v>37200</v>
      </c>
      <c r="D8" s="2">
        <f>SUM(D2:D7)</f>
        <v>42800</v>
      </c>
      <c r="E8" s="2">
        <f>SUM(E2:E7)</f>
        <v>47000</v>
      </c>
      <c r="F8" s="2">
        <f>SUM(F2:F7)</f>
        <v>127000</v>
      </c>
      <c r="G8" s="2">
        <f t="shared" si="1"/>
        <v>6350</v>
      </c>
    </row>
    <row r="100" spans="1:1" x14ac:dyDescent="0.25">
      <c r="A100" s="7">
        <v>41730</v>
      </c>
    </row>
    <row r="65536" spans="256:256" x14ac:dyDescent="0.25">
      <c r="IV65536" s="5" t="s">
        <v>31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39"/>
  </sheetPr>
  <dimension ref="A1:IV65536"/>
  <sheetViews>
    <sheetView workbookViewId="0">
      <selection activeCell="B10" sqref="B10"/>
    </sheetView>
  </sheetViews>
  <sheetFormatPr baseColWidth="10" defaultColWidth="11.44140625" defaultRowHeight="13.2" x14ac:dyDescent="0.25"/>
  <sheetData>
    <row r="1" spans="1:8" x14ac:dyDescent="0.25">
      <c r="A1" s="8" t="s">
        <v>41</v>
      </c>
      <c r="B1" s="8"/>
      <c r="C1" s="8"/>
      <c r="D1" s="8"/>
    </row>
    <row r="2" spans="1:8" x14ac:dyDescent="0.25">
      <c r="B2" s="6" t="s">
        <v>42</v>
      </c>
      <c r="C2" s="6" t="s">
        <v>43</v>
      </c>
      <c r="D2" s="6" t="s">
        <v>44</v>
      </c>
      <c r="E2" s="6" t="s">
        <v>45</v>
      </c>
      <c r="F2" s="6" t="s">
        <v>46</v>
      </c>
      <c r="G2" s="6" t="s">
        <v>47</v>
      </c>
      <c r="H2" s="6" t="s">
        <v>48</v>
      </c>
    </row>
    <row r="3" spans="1:8" x14ac:dyDescent="0.25">
      <c r="A3" t="s">
        <v>49</v>
      </c>
      <c r="B3">
        <v>800</v>
      </c>
      <c r="C3">
        <v>1200</v>
      </c>
      <c r="D3">
        <v>1600</v>
      </c>
      <c r="E3">
        <v>1900</v>
      </c>
      <c r="F3">
        <v>2150</v>
      </c>
      <c r="G3">
        <v>1900</v>
      </c>
      <c r="H3">
        <v>2250</v>
      </c>
    </row>
    <row r="4" spans="1:8" x14ac:dyDescent="0.25">
      <c r="A4" t="s">
        <v>50</v>
      </c>
      <c r="B4">
        <v>700</v>
      </c>
      <c r="C4">
        <v>1100</v>
      </c>
      <c r="D4">
        <v>1300</v>
      </c>
      <c r="E4">
        <v>1200</v>
      </c>
      <c r="F4">
        <v>1100</v>
      </c>
      <c r="G4">
        <v>1400</v>
      </c>
      <c r="H4">
        <v>1500</v>
      </c>
    </row>
    <row r="5" spans="1:8" x14ac:dyDescent="0.25">
      <c r="A5" t="s">
        <v>51</v>
      </c>
      <c r="B5">
        <v>900</v>
      </c>
      <c r="C5">
        <v>1250</v>
      </c>
      <c r="D5">
        <v>1500</v>
      </c>
      <c r="E5">
        <v>1800</v>
      </c>
      <c r="F5">
        <v>2100</v>
      </c>
      <c r="G5">
        <v>2300</v>
      </c>
      <c r="H5">
        <v>2500</v>
      </c>
    </row>
    <row r="100" spans="1:1" x14ac:dyDescent="0.25">
      <c r="A100" s="7">
        <v>41730</v>
      </c>
    </row>
    <row r="65536" spans="256:256" x14ac:dyDescent="0.25">
      <c r="IV65536" s="5" t="s">
        <v>31</v>
      </c>
    </row>
  </sheetData>
  <mergeCells count="1">
    <mergeCell ref="A1:D1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indexed="11"/>
  </sheetPr>
  <dimension ref="A1:IT65536"/>
  <sheetViews>
    <sheetView workbookViewId="0">
      <selection activeCell="I16" sqref="I16"/>
    </sheetView>
  </sheetViews>
  <sheetFormatPr baseColWidth="10" defaultColWidth="11.44140625" defaultRowHeight="13.2" x14ac:dyDescent="0.25"/>
  <sheetData>
    <row r="1" spans="1:5" x14ac:dyDescent="0.25">
      <c r="A1" t="s">
        <v>52</v>
      </c>
    </row>
    <row r="2" spans="1:5" x14ac:dyDescent="0.25">
      <c r="B2" t="s">
        <v>53</v>
      </c>
      <c r="C2" t="s">
        <v>54</v>
      </c>
      <c r="D2" t="s">
        <v>55</v>
      </c>
      <c r="E2" t="s">
        <v>56</v>
      </c>
    </row>
    <row r="3" spans="1:5" x14ac:dyDescent="0.25">
      <c r="A3">
        <v>1991</v>
      </c>
      <c r="B3">
        <v>195</v>
      </c>
      <c r="C3">
        <v>89</v>
      </c>
      <c r="D3">
        <v>65</v>
      </c>
      <c r="E3">
        <v>130</v>
      </c>
    </row>
    <row r="4" spans="1:5" x14ac:dyDescent="0.25">
      <c r="A4">
        <v>1992</v>
      </c>
      <c r="B4">
        <v>200</v>
      </c>
      <c r="C4">
        <v>86</v>
      </c>
      <c r="D4">
        <v>63</v>
      </c>
      <c r="E4">
        <v>137</v>
      </c>
    </row>
    <row r="5" spans="1:5" x14ac:dyDescent="0.25">
      <c r="A5">
        <v>1993</v>
      </c>
      <c r="B5">
        <v>220</v>
      </c>
      <c r="C5">
        <v>95</v>
      </c>
      <c r="D5">
        <v>68</v>
      </c>
      <c r="E5">
        <v>160</v>
      </c>
    </row>
    <row r="6" spans="1:5" x14ac:dyDescent="0.25">
      <c r="A6">
        <v>1994</v>
      </c>
      <c r="B6">
        <v>250</v>
      </c>
      <c r="C6">
        <v>96</v>
      </c>
      <c r="D6">
        <v>70</v>
      </c>
      <c r="E6">
        <v>180</v>
      </c>
    </row>
    <row r="7" spans="1:5" x14ac:dyDescent="0.25">
      <c r="A7">
        <v>1995</v>
      </c>
      <c r="B7">
        <v>240</v>
      </c>
      <c r="C7">
        <v>93</v>
      </c>
      <c r="D7">
        <v>76</v>
      </c>
      <c r="E7">
        <v>183</v>
      </c>
    </row>
    <row r="8" spans="1:5" x14ac:dyDescent="0.25">
      <c r="A8">
        <v>1996</v>
      </c>
      <c r="B8">
        <v>230</v>
      </c>
      <c r="C8">
        <v>97</v>
      </c>
      <c r="D8">
        <v>79</v>
      </c>
      <c r="E8">
        <v>189</v>
      </c>
    </row>
    <row r="9" spans="1:5" x14ac:dyDescent="0.25">
      <c r="A9">
        <v>1997</v>
      </c>
      <c r="B9">
        <v>192</v>
      </c>
      <c r="C9">
        <v>83</v>
      </c>
      <c r="D9">
        <v>85</v>
      </c>
      <c r="E9">
        <v>170</v>
      </c>
    </row>
    <row r="10" spans="1:5" x14ac:dyDescent="0.25">
      <c r="A10">
        <v>1998</v>
      </c>
      <c r="B10">
        <v>194</v>
      </c>
      <c r="C10">
        <v>81</v>
      </c>
      <c r="D10">
        <v>83</v>
      </c>
      <c r="E10">
        <v>174</v>
      </c>
    </row>
    <row r="11" spans="1:5" x14ac:dyDescent="0.25">
      <c r="A11">
        <v>1999</v>
      </c>
      <c r="B11">
        <v>215</v>
      </c>
      <c r="C11">
        <v>104</v>
      </c>
      <c r="D11">
        <v>100</v>
      </c>
      <c r="E11">
        <v>165</v>
      </c>
    </row>
    <row r="12" spans="1:5" x14ac:dyDescent="0.25">
      <c r="A12">
        <v>2000</v>
      </c>
      <c r="B12">
        <v>200</v>
      </c>
      <c r="C12">
        <v>102</v>
      </c>
      <c r="D12">
        <v>105</v>
      </c>
      <c r="E12">
        <v>168</v>
      </c>
    </row>
    <row r="13" spans="1:5" x14ac:dyDescent="0.25">
      <c r="A13">
        <v>2001</v>
      </c>
      <c r="B13">
        <v>195</v>
      </c>
      <c r="C13">
        <v>98</v>
      </c>
      <c r="D13">
        <v>110</v>
      </c>
      <c r="E13">
        <v>170</v>
      </c>
    </row>
    <row r="14" spans="1:5" x14ac:dyDescent="0.25">
      <c r="A14">
        <v>2002</v>
      </c>
      <c r="B14">
        <v>210</v>
      </c>
      <c r="C14">
        <v>90</v>
      </c>
      <c r="D14">
        <v>130</v>
      </c>
      <c r="E14">
        <v>170</v>
      </c>
    </row>
    <row r="15" spans="1:5" x14ac:dyDescent="0.25">
      <c r="A15">
        <v>2003</v>
      </c>
      <c r="B15">
        <v>215</v>
      </c>
      <c r="C15">
        <v>83</v>
      </c>
      <c r="D15">
        <v>150</v>
      </c>
      <c r="E15">
        <v>190</v>
      </c>
    </row>
    <row r="16" spans="1:5" x14ac:dyDescent="0.25">
      <c r="A16">
        <v>2004</v>
      </c>
      <c r="B16">
        <v>220</v>
      </c>
      <c r="C16">
        <v>93</v>
      </c>
      <c r="D16">
        <v>165</v>
      </c>
      <c r="E16">
        <v>200</v>
      </c>
    </row>
    <row r="17" spans="1:5" x14ac:dyDescent="0.25">
      <c r="A17">
        <v>2005</v>
      </c>
      <c r="B17">
        <v>235</v>
      </c>
      <c r="C17">
        <v>82</v>
      </c>
      <c r="D17">
        <v>170</v>
      </c>
      <c r="E17">
        <v>210</v>
      </c>
    </row>
    <row r="18" spans="1:5" x14ac:dyDescent="0.25">
      <c r="A18">
        <v>2006</v>
      </c>
      <c r="B18">
        <v>240</v>
      </c>
      <c r="C18">
        <v>93</v>
      </c>
      <c r="D18">
        <v>190</v>
      </c>
      <c r="E18">
        <v>205</v>
      </c>
    </row>
    <row r="19" spans="1:5" x14ac:dyDescent="0.25">
      <c r="A19">
        <v>2007</v>
      </c>
      <c r="B19">
        <v>250</v>
      </c>
      <c r="C19">
        <v>102</v>
      </c>
      <c r="D19">
        <v>200</v>
      </c>
      <c r="E19">
        <v>190</v>
      </c>
    </row>
    <row r="20" spans="1:5" x14ac:dyDescent="0.25">
      <c r="A20">
        <v>2008</v>
      </c>
      <c r="B20">
        <v>255</v>
      </c>
      <c r="C20">
        <v>120</v>
      </c>
      <c r="D20">
        <v>215</v>
      </c>
      <c r="E20">
        <v>194</v>
      </c>
    </row>
    <row r="21" spans="1:5" x14ac:dyDescent="0.25">
      <c r="A21">
        <v>2009</v>
      </c>
      <c r="B21">
        <v>265</v>
      </c>
      <c r="C21">
        <v>125</v>
      </c>
      <c r="D21">
        <v>230</v>
      </c>
      <c r="E21">
        <v>180</v>
      </c>
    </row>
    <row r="22" spans="1:5" x14ac:dyDescent="0.25">
      <c r="A22">
        <v>2010</v>
      </c>
      <c r="B22">
        <v>285</v>
      </c>
      <c r="C22">
        <v>130</v>
      </c>
      <c r="D22">
        <v>245</v>
      </c>
      <c r="E22">
        <v>195</v>
      </c>
    </row>
    <row r="100" spans="1:1" x14ac:dyDescent="0.25">
      <c r="A100" s="7">
        <v>41730</v>
      </c>
    </row>
    <row r="65536" spans="254:254" x14ac:dyDescent="0.25">
      <c r="IT65536" s="5" t="s">
        <v>31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Raul Gomez</cp:lastModifiedBy>
  <cp:revision>1</cp:revision>
  <dcterms:created xsi:type="dcterms:W3CDTF">2023-09-16T15:47:53Z</dcterms:created>
  <dcterms:modified xsi:type="dcterms:W3CDTF">2023-09-16T15:48:32Z</dcterms:modified>
  <cp:category/>
  <cp:contentStatus/>
</cp:coreProperties>
</file>